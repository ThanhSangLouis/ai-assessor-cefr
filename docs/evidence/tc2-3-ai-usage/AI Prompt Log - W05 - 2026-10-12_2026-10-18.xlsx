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48fd9b3edf4557" /></Relationships>
</file>

<file path=xl/workbook.xml><?xml version="1.0" encoding="utf-8"?>
<x:workbook xmlns:x="http://schemas.openxmlformats.org/spreadsheetml/2006/main">
  <x:sheets>
    <x:sheet xmlns:r="http://schemas.openxmlformats.org/officeDocument/2006/relationships" name="Thắng" sheetId="1" r:id="R19e6c8df16164e83"/>
    <x:sheet xmlns:r="http://schemas.openxmlformats.org/officeDocument/2006/relationships" name="Nguyên" sheetId="2" r:id="Rda12f45e1a564c9b"/>
    <x:sheet xmlns:r="http://schemas.openxmlformats.org/officeDocument/2006/relationships" name="Sang" sheetId="3" r:id="Ra0dde326f022461d"/>
    <x:sheet xmlns:r="http://schemas.openxmlformats.org/officeDocument/2006/relationships" name="Tổng hợp" sheetId="4" r:id="Rd1bf51387d3f490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3">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16e05fdc6dc4030" /><Relationship Type="http://schemas.openxmlformats.org/officeDocument/2006/relationships/theme" Target="/xl/theme/theme1.xml" Id="R746762ba652c415f" /><Relationship Type="http://schemas.openxmlformats.org/officeDocument/2006/relationships/sharedStrings" Target="/xl/sharedStrings.xml" Id="Rd1886f5df92e4fc3" /><Relationship Type="http://schemas.openxmlformats.org/officeDocument/2006/relationships/worksheet" Target="/xl/worksheets/sheet1.xml" Id="R19e6c8df16164e83" /><Relationship Type="http://schemas.openxmlformats.org/officeDocument/2006/relationships/worksheet" Target="/xl/worksheets/sheet2.xml" Id="Rda12f45e1a564c9b" /><Relationship Type="http://schemas.openxmlformats.org/officeDocument/2006/relationships/worksheet" Target="/xl/worksheets/sheet3.xml" Id="Ra0dde326f022461d" /><Relationship Type="http://schemas.openxmlformats.org/officeDocument/2006/relationships/worksheet" Target="/xl/worksheets/sheet4.xml" Id="Rd1bf51387d3f4907"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26b7e3a89144a59" /></Relationships>
</file>

<file path=xl/worksheets/_rels/sheet2.xml.rels>&#65279;<?xml version="1.0" encoding="utf-8"?><Relationships xmlns="http://schemas.openxmlformats.org/package/2006/relationships"><Relationship Type="http://schemas.openxmlformats.org/officeDocument/2006/relationships/table" Target="/xl/tables/table2.xml" Id="R5029874a91bc43ca" /></Relationships>
</file>

<file path=xl/worksheets/_rels/sheet3.xml.rels>&#65279;<?xml version="1.0" encoding="utf-8"?><Relationships xmlns="http://schemas.openxmlformats.org/package/2006/relationships"><Relationship Type="http://schemas.openxmlformats.org/officeDocument/2006/relationships/table" Target="/xl/tables/table3.xml" Id="Rae96f00e4b7d4046"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326b7e3a89144a59"/>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66" hidden="0" customHeight="1">
      <x:c r="A9" s="28" t="d">
        <x:v>2026-10-16T00:00:00.000Z</x:v>
      </x:c>
      <x:c r="B9" s="18" t="str">
        <x:v>Nguyên</x:v>
      </x:c>
      <x:c r="C9" s="18" t="str">
        <x:v>Codex</x:v>
      </x:c>
      <x:c r="D9" s="19" t="str">
        <x:v>Refine requirement M15 cho W5-N01 và review Phase 01 trên worktree sạch từ main.</x:v>
      </x:c>
      <x:c r="E9" s="19" t="str">
        <x:v>Hoàn thành task này ở week5. Làm lại từ đầu luôn. Tạo worktree sạch từ đầu main hiện tại.</x:v>
      </x:c>
      <x:c r="F9" s="19" t="str">
        <x:v>docs/evidence/tc2-3-ai-usage/nguyen/m15-w5-20261016.md; branch codex/W5-N01-from-main, base d60e8a4.</x:v>
      </x:c>
    </x:row>
    <x:row r="10" s="24" customFormat="1" ht="36" customHeight="1">
      <x:c r="A10" s="29" t="d">
        <x:v>2026-10-16T00:00:00.000Z</x:v>
      </x:c>
      <x:c r="B10" s="18" t="str">
        <x:v>Nguyên</x:v>
      </x:c>
      <x:c r="C10" s="18" t="str">
        <x:v>Codex</x:v>
      </x:c>
      <x:c r="D10" s="19" t="str">
        <x:v>Ghi nhận verdict Phase 01, thực hiện Research W5-N01 và chuẩn bị Phase 03.</x:v>
      </x:c>
      <x:c r="E10" s="19" t="str">
        <x:v>Chọn RUN; accessibility theo tiêu chí hành vi, không claim mức chuẩn; APPROVED Requirement v0.2.</x:v>
      </x:c>
      <x:c r="F10" s="19" t="str">
        <x:v>docs/evidence/tc2-3-ai-usage/nguyen/m15-w5-20261016.md; branch codex/W5-N01-from-main, base d60e8a4.</x:v>
      </x:c>
    </x:row>
    <x:row r="11" s="24" customFormat="1" ht="60" customHeight="1">
      <x:c r="A11" s="29" t="d">
        <x:v>2026-10-16T00:00:00.000Z</x:v>
      </x:c>
      <x:c r="B11" s="18" t="str">
        <x:v>Nguyên</x:v>
      </x:c>
      <x:c r="C11" s="18" t="str">
        <x:v>Codex</x:v>
      </x:c>
      <x:c r="D11" s="19" t="str">
        <x:v>Ghi nhận verdict Phase 03 và hoàn thiện Test Plan v0.2 cho W5-N01.</x:v>
      </x:c>
      <x:c r="E11" s="19" t="str">
        <x:v>APPROVED theo đề xuất: native server-rendered HTML/CSS/small JS; routes /, /bands, /student/account?tab=...</x:v>
      </x:c>
      <x:c r="F11" s="19" t="str">
        <x:v>docs/sdd/modules/m15-product-web/04-test-plan.md; reviews/phase-03-review-w5-n01-a1-2026-10-16.md; branch codex/W5-N01-from-main, base d60e8a4.</x:v>
      </x:c>
    </x:row>
    <x:row r="12" s="24" customFormat="1" ht="60" customHeight="1">
      <x:c r="A12" s="29" t="d">
        <x:v>2026-10-16T00:00:00.000Z</x:v>
      </x:c>
      <x:c r="B12" s="18" t="str">
        <x:v>Nguyên</x:v>
      </x:c>
      <x:c r="C12" s="18" t="str">
        <x:v>Codex</x:v>
      </x:c>
      <x:c r="D12" s="19" t="str">
        <x:v>Ghi nhận verdict Phase 04; lập Plan/Tasks Phase 05 và rà readiness W5-N01.</x:v>
      </x:c>
      <x:c r="E12" s="19" t="str">
        <x:v>APPROVED — chuyển Phase 05. Soạn Plan/Tasks; rà owner, file scope và dependency gates.</x:v>
      </x:c>
      <x:c r="F12" s="19" t="str">
        <x:v>docs/sdd/modules/m15-product-web/05-plan.md; 06-tasks.md; reviews/phase-05-review-w5-n01-a1-2026-10-16.md; branch codex/W5-N01-from-main, base d60e8a4.</x:v>
      </x:c>
    </x:row>
    <x:row r="13" s="24" customFormat="1" ht="60" customHeight="1">
      <x:c r="A13" s="29" t="d">
        <x:v>2026-10-16T00:00:00.000Z</x:v>
      </x:c>
      <x:c r="B13" s="18" t="str">
        <x:v>Nguyên</x:v>
      </x:c>
      <x:c r="C13" s="18" t="str">
        <x:v>Codex</x:v>
      </x:c>
      <x:c r="D13" s="19" t="str">
        <x:v>Ghi nhận quyết định giữ full scope W5-N01; Phase 05 vẫn blocked theo dependencies.</x:v>
      </x:c>
      <x:c r="E13" s="19" t="str">
        <x:v>Giữ full scope (Recommended). Giữ nguyên N01; chờ owner-approved contracts, không thu hẹp.</x:v>
      </x:c>
      <x:c r="F13" s="19" t="str">
        <x:v>docs/sdd/modules/m15-product-web/05-plan.md; reviews/phase-05-review-w5-n01-a1-2026-10-16.md; branch codex/W5-N01-from-main, base d60e8a4.</x:v>
      </x:c>
    </x:row>
    <x:row r="14" s="24" customFormat="1" ht="60" customHeight="1">
      <x:c r="A14" s="29" t="d">
        <x:v>2026-10-16T00:00:00.000Z</x:v>
      </x:c>
      <x:c r="B14" s="18" t="str">
        <x:v>Nguyên</x:v>
      </x:c>
      <x:c r="C14" s="18" t="str">
        <x:v>Codex</x:v>
      </x:c>
      <x:c r="D14" s="19" t="str">
        <x:v>Tra cứu owner duyệt producer contract W5-N01; đính chính mapping teacher_verified M06/M07 với M08.</x:v>
      </x:c>
      <x:c r="E14" s="19" t="str">
        <x:v>Ai duyệt M01, M06, M09, M11, M13 và teacher-verified? Đối chiếu phân công module, status và contract boundary.</x:v>
      </x:c>
      <x:c r="F14" s="19" t="str">
        <x:v>docs/sdd/modules/m15-product-web/05-plan.md; 06-tasks.md; reviews/phase-05-review-w5-n01-a1-2026-10-16.md; branch codex/W5-N01-from-main, base d60e8a4.</x:v>
      </x:c>
    </x:row>
    <x:row r="15" s="24" customFormat="1" ht="72" customHeight="1">
      <x:c r="A15" s="32" t="d">
        <x:v>2026-10-16T00:00:00.000Z</x:v>
      </x:c>
      <x:c r="B15" s="18" t="str">
        <x:v>Nguyên</x:v>
      </x:c>
      <x:c r="C15" s="18" t="str">
        <x:v>Codex</x:v>
      </x:c>
      <x:c r="D15" s="19" t="str">
        <x:v>Triển khai W5-N01: design system/public, account, assessment/report/history/audio và progress evidence UI; lưu Roboto local kèm license/provenance; cập nhật status và log.</x:v>
      </x:c>
      <x:c r="E15" s="19" t="str">
        <x:v>mọi thứ đã được duyệt trong cuộc họp miệng của chúng tôi và tiếp tục làm đi — hoàn thiện code W5-N01 theo scope đã duyệt.</x:v>
      </x:c>
      <x:c r="F15" s="19" t="str">
        <x:v>src/aicefr/api/templates.py; api/wsgi.py; api/static/recorder.js, report.js, fonts/; portal/templates.py; portal/router.py; docs/sdd/modules/m15-product-web/06-tasks.md, 07-status.md; branch codex/W5-N01-from-main, base d60e8a4; tests/build/browser NOT_RUN.</x:v>
      </x:c>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5029874a91bc43ca"/>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ae96f00e4b7d4046"/>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38</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20</x:v>
      </x:c>
      <x:c r="F10" s="2" t="n"/>
    </x:row>
    <x:row r="11" s="24" customFormat="1" ht="24.75" customHeight="1">
      <x:c r="A11" s="11" t="inlineStr">
        <x:is>
          <x:t xml:space="preserve">Nguyên</x:t>
        </x:is>
      </x:c>
      <x:c r="B11" s="13" t="n">
        <x:f>COUNTIF(Nguyên!$A$6:$A$306,"&lt;&gt;")</x:f>
        <x:v>10</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
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f99b364ee264474" /></Relationships>
</file>

<file path=xl/workbook.xml><?xml version="1.0" encoding="utf-8"?>
<x:workbook xmlns:x="http://schemas.openxmlformats.org/spreadsheetml/2006/main">
  <x:sheets>
    <x:sheet xmlns:r="http://schemas.openxmlformats.org/officeDocument/2006/relationships" name="Thắng" sheetId="1" r:id="R20f925310ee04974"/>
    <x:sheet xmlns:r="http://schemas.openxmlformats.org/officeDocument/2006/relationships" name="Nguyên" sheetId="2" r:id="R28c65edfa4d84652"/>
    <x:sheet xmlns:r="http://schemas.openxmlformats.org/officeDocument/2006/relationships" name="Sang" sheetId="3" r:id="R64d4767cba934e99"/>
    <x:sheet xmlns:r="http://schemas.openxmlformats.org/officeDocument/2006/relationships" name="Tổng hợp" sheetId="4" r:id="R69f7400ae9c94e1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7">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164" fontId="7" fillId="7" borderId="1" xfId="0" applyNumberFormat="1" applyFont="1" applyFill="1" applyBorder="1" applyAlignment="1">
      <x:alignment horizontal="center" vertical="center"/>
    </x:xf>
    <x:xf numFmtId="1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bafcc3a3fea4711" /><Relationship Type="http://schemas.openxmlformats.org/officeDocument/2006/relationships/theme" Target="/xl/theme/theme1.xml" Id="Rab5e327f849046ab" /><Relationship Type="http://schemas.openxmlformats.org/officeDocument/2006/relationships/sharedStrings" Target="/xl/sharedStrings.xml" Id="R578c8076ce384653" /><Relationship Type="http://schemas.openxmlformats.org/officeDocument/2006/relationships/worksheet" Target="/xl/worksheets/sheet1.xml" Id="R20f925310ee04974" /><Relationship Type="http://schemas.openxmlformats.org/officeDocument/2006/relationships/worksheet" Target="/xl/worksheets/sheet2.xml" Id="R28c65edfa4d84652" /><Relationship Type="http://schemas.openxmlformats.org/officeDocument/2006/relationships/worksheet" Target="/xl/worksheets/sheet3.xml" Id="R64d4767cba934e99" /><Relationship Type="http://schemas.openxmlformats.org/officeDocument/2006/relationships/worksheet" Target="/xl/worksheets/sheet4.xml" Id="R69f7400ae9c94e1b"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776a65e497741f4" /></Relationships>
</file>

<file path=xl/worksheets/_rels/sheet2.xml.rels>&#65279;<?xml version="1.0" encoding="utf-8"?><Relationships xmlns="http://schemas.openxmlformats.org/package/2006/relationships"><Relationship Type="http://schemas.openxmlformats.org/officeDocument/2006/relationships/table" Target="/xl/tables/table2.xml" Id="Rd397245b872d4e2b" /></Relationships>
</file>

<file path=xl/worksheets/_rels/sheet3.xml.rels>&#65279;<?xml version="1.0" encoding="utf-8"?><Relationships xmlns="http://schemas.openxmlformats.org/package/2006/relationships"><Relationship Type="http://schemas.openxmlformats.org/officeDocument/2006/relationships/table" Target="/xl/tables/table3.xml" Id="R40539769dcb24612"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e776a65e497741f4"/>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32" customHeight="1">
      <x:c r="A6" s="29" t="n">
        <x:v>46307</x:v>
      </x:c>
      <x:c r="B6" s="18" t="inlineStr">
        <x:is>
          <x:t xml:space="preserve">Nguyên</x:t>
        </x:is>
      </x:c>
      <x:c r="C6" s="18" t="inlineStr">
        <x:is>
          <x:t xml:space="preserve">Codex</x:t>
        </x:is>
      </x:c>
      <x:c r="D6" s="19" t="inlineStr">
        <x:is>
          <x:t xml:space="preserve">Kiểm tra mức độ hoàn thành task W4 và tạo PR.</x:t>
        </x:is>
      </x:c>
      <x:c r="E6" s="19" t="inlineStr">
        <x:is>
          <x:t xml:space="preserve">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t>
        </x:is>
      </x:c>
      <x:c r="F6" s="19" t="inlineStr">
        <x:is>
          <x:t xml:space="preserve">nguyen/pr-W4-20261012.md
Prompt gốc: “đọc xem các task đã hoàn thiện chưa và hãy PR cho tôi”</x:t>
        </x:is>
      </x:c>
    </x:row>
    <x:row r="7" s="24" customFormat="1" ht="132" customHeight="1">
      <x:c r="A7" s="29" t="n">
        <x:v>46307</x:v>
      </x:c>
      <x:c r="B7" s="18" t="inlineStr">
        <x:is>
          <x:t xml:space="preserve">Nguyên</x:t>
        </x:is>
      </x:c>
      <x:c r="C7" s="18" t="inlineStr">
        <x:is>
          <x:t xml:space="preserve">Codex</x:t>
        </x:is>
      </x:c>
      <x:c r="D7" s="19" t="inlineStr">
        <x:is>
          <x:t xml:space="preserve">Chốt phạm vi PR cho các task W4, báo cáo và AI log.</x:t>
        </x:is>
      </x:c>
      <x:c r="E7" s="19" t="inlineStr">
        <x:is>
          <x:t xml:space="preserve">PR chỉ gồm các task W4, báo cáo tuần 4 và AI log liên quan. Giữ các tài liệu định hướng đề tài và kế hoạch 15 tuần ngoài phạm vi PR này.</x:t>
        </x:is>
      </x:c>
      <x:c r="F7" s="19" t="inlineStr">
        <x:is>
          <x:t xml:space="preserve">nguyen/pr-W4-20261012.md
Trả lời gốc: “Chỉ các task W4, báo cáo và AI log liên quan”</x:t>
        </x:is>
      </x:c>
    </x:row>
    <x:row r="8" s="24" customFormat="1" ht="132" customHeight="1">
      <x:c r="A8" s="29" t="n">
        <x:v>46307</x:v>
      </x:c>
      <x:c r="B8" s="18" t="inlineStr">
        <x:is>
          <x:t xml:space="preserve">Nguyên</x:t>
        </x:is>
      </x:c>
      <x:c r="C8" s="18" t="inlineStr">
        <x:is>
          <x:t xml:space="preserve">Codex</x:t>
        </x:is>
      </x:c>
      <x:c r="D8" s="19" t="inlineStr">
        <x:is>
          <x:t xml:space="preserve">Thu hẹp nội dung push theo task của Nguyên.</x:t>
        </x:is>
      </x:c>
      <x:c r="E8" s="19" t="inlineStr">
        <x:is>
          <x:t xml:space="preserve">Chỉ commit và push những thay đổi liên quan đến các task của Nguyên. Kiểm tra danh sách file và các phần dùng chung trước khi tạo PR, bảo toàn phần việc khác đang có trong workspace.</x:t>
        </x:is>
      </x:c>
      <x:c r="F8" s="19" t="inlineStr">
        <x:is>
          <x:t xml:space="preserve">nguyen/pr-W4-20261012.md
Prompt gốc: “chỉ push những gì liên quan đến task của Nguyên”</x:t>
        </x:is>
      </x:c>
    </x:row>
    <x:row r="9" s="24" customFormat="1" ht="36" customHeight="1">
      <x:c r="A9" s="29" t="n"/>
      <x:c r="B9" s="18" t="n"/>
      <x:c r="C9" s="18" t="n"/>
      <x:c r="D9" s="19" t="n"/>
      <x:c r="E9" s="19" t="n"/>
      <x:c r="F9" s="19" t="n"/>
    </x:row>
    <x:row r="10" s="24" customFormat="1" ht="36" customHeight="1">
      <x:c r="A10" s="29" t="n"/>
      <x:c r="B10" s="18" t="n"/>
      <x:c r="C10" s="18" t="n"/>
      <x:c r="D10" s="19" t="n"/>
      <x:c r="E10" s="19" t="n"/>
      <x:c r="F10" s="19" t="n"/>
    </x:row>
    <x:row r="11" s="24" customFormat="1" ht="36" customHeight="1">
      <x:c r="A11" s="29" t="n"/>
      <x:c r="B11" s="18" t="n"/>
      <x:c r="C11" s="18" t="n"/>
      <x:c r="D11" s="19" t="n"/>
      <x:c r="E11" s="19" t="n"/>
      <x:c r="F11" s="19" t="n"/>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d397245b872d4e2b"/>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2" t="d">
        <x:v>2026-10-16T00:00:00.000Z</x:v>
      </x:c>
      <x:c r="B6" s="18" t="str">
        <x:v>Sang</x:v>
      </x:c>
      <x:c r="C6" s="18" t="str">
        <x:v>Codex</x:v>
      </x:c>
      <x:c r="D6" s="19" t="str">
        <x:v>Lọc phạm vi 6 task tuần 05</x:v>
      </x:c>
      <x:c r="E6" s="19" t="str">
        <x:v>Tìm file liên quan tới 6 task; chỉ chuyển 2 task đầu.</x:v>
      </x:c>
      <x:c r="F6" s="19" t="str">
        <x:v>https://github.com/thanglb2005/ai-assessor-cefr/pull/42 ; https://github.com/thanglb2005/ai-assessor-cefr/pull/43</x:v>
      </x:c>
    </x:row>
    <x:row r="7" s="24" customFormat="1" ht="36" customHeight="1">
      <x:c r="A7" s="32" t="d">
        <x:v>2026-10-16T00:00:00.000Z</x:v>
      </x:c>
      <x:c r="B7" s="18" t="str">
        <x:v>Sang</x:v>
      </x:c>
      <x:c r="C7" s="18" t="str">
        <x:v>Codex</x:v>
      </x:c>
      <x:c r="D7" s="19" t="str">
        <x:v>Giới hạn phạm vi SCRUM-71/72</x:v>
      </x:c>
      <x:c r="E7" s="19" t="str">
        <x:v>Chỉ chuyển 2 task đầu trước.</x:v>
      </x:c>
      <x:c r="F7" s="19" t="str">
        <x:v>https://github.com/thanglb2005/ai-assessor-cefr/pull/42 ; https://github.com/thanglb2005/ai-assessor-cefr/pull/43</x:v>
      </x:c>
    </x:row>
    <x:row r="8" s="24" customFormat="1" ht="36" customHeight="1">
      <x:c r="A8" s="32" t="d">
        <x:v>2026-10-16T00:00:00.000Z</x:v>
      </x:c>
      <x:c r="B8" s="18" t="str">
        <x:v>Sang</x:v>
      </x:c>
      <x:c r="C8" s="18" t="str">
        <x:v>Codex</x:v>
      </x:c>
      <x:c r="D8" s="19" t="str">
        <x:v>Đối chiếu task với plan</x:v>
      </x:c>
      <x:c r="E8" s="19" t="str">
        <x:v>Kiểm tra xem 2 task này đã đúng với trong plan chưa.</x:v>
      </x:c>
      <x:c r="F8" s="19" t="str">
        <x:v>https://github.com/thanglb2005/ai-assessor-cefr/pull/42 ; https://github.com/thanglb2005/ai-assessor-cefr/pull/43</x:v>
      </x:c>
    </x:row>
    <x:row r="9" s="24" customFormat="1" ht="36" customHeight="1">
      <x:c r="A9" s="32" t="d">
        <x:v>2026-10-16T00:00:00.000Z</x:v>
      </x:c>
      <x:c r="B9" s="18" t="str">
        <x:v>Sang</x:v>
      </x:c>
      <x:c r="C9" s="18" t="str">
        <x:v>Codex</x:v>
      </x:c>
      <x:c r="D9" s="19" t="str">
        <x:v>Owner và thứ tự chuyển task</x:v>
      </x:c>
      <x:c r="E9" s="19" t="str">
        <x:v>Task này của Thanh Sang; làm lần lượt SCRUM-71 rồi đến SCRUM-72.</x:v>
      </x:c>
      <x:c r="F9" s="19" t="str">
        <x:v>https://github.com/thanglb2005/ai-assessor-cefr/pull/42 ; https://github.com/thanglb2005/ai-assessor-cefr/pull/43</x:v>
      </x:c>
    </x:row>
    <x:row r="10" s="24" customFormat="1" ht="36" customHeight="1">
      <x:c r="A10" s="32" t="d">
        <x:v>2026-10-16T00:00:00.000Z</x:v>
      </x:c>
      <x:c r="B10" s="18" t="str">
        <x:v>Sang</x:v>
      </x:c>
      <x:c r="C10" s="18" t="str">
        <x:v>Codex</x:v>
      </x:c>
      <x:c r="D10" s="19" t="str">
        <x:v>Hoàn thiện, kiểm chứng và tạo PR</x:v>
      </x:c>
      <x:c r="E10" s="19" t="str">
        <x:v>Hoàn thiện hai task, chạy E2E một lần, push từng nhánh và tạo PR vào main.</x:v>
      </x:c>
      <x:c r="F10" s="19" t="str">
        <x:v>https://github.com/thanglb2005/ai-assessor-cefr/pull/42 ; https://github.com/thanglb2005/ai-assessor-cefr/pull/43</x:v>
      </x:c>
    </x:row>
    <x:row r="11" s="24" customFormat="1" ht="36" customHeight="1">
      <x:c r="A11" s="32" t="d">
        <x:v>2026-10-16T00:00:00.000Z</x:v>
      </x:c>
      <x:c r="B11" s="18" t="str">
        <x:v>Sang</x:v>
      </x:c>
      <x:c r="C11" s="18" t="str">
        <x:v>Codex</x:v>
      </x:c>
      <x:c r="D11" s="19" t="str">
        <x:v>Classifier phát âm SCRUM-71</x:v>
      </x:c>
      <x:c r="E11" s="19" t="str">
        <x:v>Giữ thứ tự source: ưu tiên /th/ và cụm phụ âm trước lỗi phụ âm cuối chung.</x:v>
      </x:c>
      <x:c r="F11" s="19" t="str">
        <x:v>https://github.com/thanglb2005/ai-assessor-cefr/pull/42</x:v>
      </x:c>
    </x:row>
    <x:row r="12" s="24" customFormat="1" ht="110" customHeight="1">
      <x:c r="A12" s="36" t="n">
        <x:v>46310</x:v>
      </x:c>
      <x:c r="B12" s="34" t="str">
        <x:v>Sang</x:v>
      </x:c>
      <x:c r="C12" s="34" t="str">
        <x:v>Codex</x:v>
      </x:c>
      <x:c r="D12" s="35" t="str">
        <x:v>SCRUM-63 / W5-G1: chốt contract đối chiếu bản Sang và các invariant an toàn.</x:v>
      </x:c>
      <x:c r="E12" s="35" t="str">
        <x:v>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x:v>
      </x:c>
      <x:c r="F12" s="35" t="str">
        <x:v>../../sdd/modules/m09-trust-layer/W5-G1-parity-contract.md
Prompt được biên soạn lại từ công việc thực tế; không phải transcript nguyên văn.</x:v>
      </x:c>
    </x:row>
    <x:row r="13" s="24" customFormat="1" ht="110" customHeight="1">
      <x:c r="A13" s="36" t="n">
        <x:v>46310</x:v>
      </x:c>
      <x:c r="B13" s="34" t="str">
        <x:v>Sang</x:v>
      </x:c>
      <x:c r="C13" s="34" t="str">
        <x:v>Codex</x:v>
      </x:c>
      <x:c r="D13" s="35" t="str">
        <x:v>SCRUM-69 / W5-S01: phân tích Trust Layer và chia lane triển khai.</x:v>
      </x:c>
      <x:c r="E13" s="35" t="str">
        <x:v>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x:v>
      </x:c>
      <x:c r="F13" s="35" t="str">
        <x:v>../../sdd/modules/m09-trust-layer/evidence/scrum-69/authority.md
Prompt được biên soạn lại từ công việc thực tế; không phải transcript nguyên văn.</x:v>
      </x:c>
    </x:row>
    <x:row r="14" s="24" customFormat="1" ht="110" customHeight="1">
      <x:c r="A14" s="36" t="n">
        <x:v>46310</x:v>
      </x:c>
      <x:c r="B14" s="34" t="str">
        <x:v>Sang</x:v>
      </x:c>
      <x:c r="C14" s="34" t="str">
        <x:v>Codex / GPT-6 Luna</x:v>
      </x:c>
      <x:c r="D14" s="35" t="str">
        <x:v>SCRUM-69: giao Luna xây domain, LID và validity guards.</x:v>
      </x:c>
      <x:c r="E14" s="35" t="str">
        <x:v>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x:v>
      </x:c>
      <x:c r="F14" s="35" t="str">
        <x:v>../../sdd/modules/m09-trust-layer/prompts/SCRUM-69-domain-A1.md
Prompt được biên soạn lại từ công việc thực tế; không phải transcript nguyên văn.</x:v>
      </x:c>
    </x:row>
    <x:row r="15" s="24" customFormat="1" ht="110" customHeight="1">
      <x:c r="A15" s="36" t="n">
        <x:v>46310</x:v>
      </x:c>
      <x:c r="B15" s="34" t="str">
        <x:v>Sang</x:v>
      </x:c>
      <x:c r="C15" s="34" t="str">
        <x:v>Codex / GPT-6 Luna</x:v>
      </x:c>
      <x:c r="D15" s="35" t="str">
        <x:v>SCRUM-69: giao Luna triển khai CV+ và calibration/refusal tools.</x:v>
      </x:c>
      <x:c r="E15" s="35" t="str">
        <x:v>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x:v>
      </x:c>
      <x:c r="F15" s="35" t="str">
        <x:v>../../sdd/modules/m09-trust-layer/prompts/SCRUM-69-conformal-A1.md
Prompt được biên soạn lại từ công việc thực tế; không phải transcript nguyên văn.</x:v>
      </x:c>
    </x:row>
    <x:row r="16" s="24" customFormat="1" ht="110" customHeight="1">
      <x:c r="A16" s="36" t="n">
        <x:v>46310</x:v>
      </x:c>
      <x:c r="B16" s="34" t="str">
        <x:v>Sang</x:v>
      </x:c>
      <x:c r="C16" s="34" t="str">
        <x:v>Codex / GPT-6 Luna</x:v>
      </x:c>
      <x:c r="D16" s="35" t="str">
        <x:v>SCRUM-69: giao Luna nối pipeline, report và API Trust Layer.</x:v>
      </x:c>
      <x:c r="E16" s="35" t="str">
        <x:v>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x:v>
      </x:c>
      <x:c r="F16" s="35" t="str">
        <x:v>../../sdd/modules/m09-trust-layer/prompts/SCRUM-69-integration-A1.md
Prompt được biên soạn lại từ công việc thực tế; không phải transcript nguyên văn.</x:v>
      </x:c>
    </x:row>
    <x:row r="17" s="24" customFormat="1" ht="110" customHeight="1">
      <x:c r="A17" s="36" t="n">
        <x:v>46310</x:v>
      </x:c>
      <x:c r="B17" s="34" t="str">
        <x:v>Sang</x:v>
      </x:c>
      <x:c r="C17" s="34" t="str">
        <x:v>Codex / GPT-6 Luna</x:v>
      </x:c>
      <x:c r="D17" s="35" t="str">
        <x:v>SCRUM-69: review routing, calibration binding và tương thích report.</x:v>
      </x:c>
      <x:c r="E17" s="35" t="str">
        <x:v>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x:v>
      </x:c>
      <x:c r="F17" s="35" t="str">
        <x:v>../../sdd/modules/m09-trust-layer/evidence/scrum-69/authority.md
Prompt được biên soạn lại từ công việc thực tế; không phải transcript nguyên văn.</x:v>
      </x:c>
    </x:row>
    <x:row r="18" s="24" customFormat="1" ht="110" customHeight="1">
      <x:c r="A18" s="36" t="n">
        <x:v>46310</x:v>
      </x:c>
      <x:c r="B18" s="34" t="str">
        <x:v>Sang</x:v>
      </x:c>
      <x:c r="C18" s="34" t="str">
        <x:v>Codex / GPT-6 Luna</x:v>
      </x:c>
      <x:c r="D18" s="35" t="str">
        <x:v>SCRUM-69: kiểm chứng độc lập thuật toán CV+ và security của tools.</x:v>
      </x:c>
      <x:c r="E18" s="35" t="str">
        <x:v>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x:v>
      </x:c>
      <x:c r="F18" s="35" t="str">
        <x:v>../../sdd/modules/m09-trust-layer/evidence/scrum-69/conformal-tools.md
Prompt được biên soạn lại từ công việc thực tế; không phải transcript nguyên văn.</x:v>
      </x:c>
    </x:row>
    <x:row r="19" s="24" customFormat="1" ht="110" customHeight="1">
      <x:c r="A19" s="36" t="n">
        <x:v>46310</x:v>
      </x:c>
      <x:c r="B19" s="34" t="str">
        <x:v>Sang</x:v>
      </x:c>
      <x:c r="C19" s="34" t="str">
        <x:v>Codex</x:v>
      </x:c>
      <x:c r="D19" s="35" t="str">
        <x:v>SCRUM-69 — Kiểm chứng model thật và CLI reproducible</x:v>
      </x:c>
      <x:c r="E19" s="35" t="str">
        <x:v>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x:v>
      </x:c>
      <x:c r="F19" s="35" t="str">
        <x:v>runtime/evidence/scrum-69-2026-10-15/real-model/result.json: PASS 2 audio, restart PASS; root-cli/root-result.json: deterministic hashes PASS, empirical accuracy NOT_MEASURED.
Prompt được biên soạn lại từ công việc thực tế; không phải transcript nguyên văn.</x:v>
      </x:c>
    </x:row>
    <x:row r="20" s="24" customFormat="1" ht="110" customHeight="1">
      <x:c r="A20" s="36" t="n">
        <x:v>46310</x:v>
      </x:c>
      <x:c r="B20" s="34" t="str">
        <x:v>Sang</x:v>
      </x:c>
      <x:c r="C20" s="34" t="str">
        <x:v>Codex</x:v>
      </x:c>
      <x:c r="D20" s="35" t="str">
        <x:v>SCRUM-69 — Review hồi quy và QA từ wheel sạch</x:v>
      </x:c>
      <x:c r="E20" s="35" t="str">
        <x:v>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x:v>
      </x:c>
      <x:c r="F20" s="35" t="str">
        <x:v>docs/sdd/modules/m09-trust-layer/reviews/SCRUM-69-review.md; prompts/SCRUM-69-review-corrections.md; prompts/SCRUM-69-wheel-QA-A1.md. Wheel QA đang xác minh; chưa ghi PASS browser.
Prompt được biên soạn lại từ công việc thực tế; không phải transcript nguyên văn.</x:v>
      </x:c>
    </x:row>
    <x:row r="21" s="24" customFormat="1" ht="110" customHeight="1">
      <x:c r="A21" s="36" t="n">
        <x:v>46310</x:v>
      </x:c>
      <x:c r="B21" s="34" t="str">
        <x:v>Sang</x:v>
      </x:c>
      <x:c r="C21" s="34" t="str">
        <x:v>Codex</x:v>
      </x:c>
      <x:c r="D21" s="35" t="str">
        <x:v>SCRUM-69 — Chốt evidence và PR Trust Layer</x:v>
      </x:c>
      <x:c r="E21" s="35" t="str">
        <x:v>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x:v>
      </x:c>
      <x:c r="F21" s="35" t="str">
        <x:v>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x:v>
      </x:c>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40539769dcb24612"/>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47</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16</x:v>
      </x:c>
      <x:c r="C10" s="2" t="n"/>
      <x:c r="D10" s="14" t="inlineStr">
        <x:is>
          <x:t xml:space="preserve">Codex</x:t>
        </x:is>
      </x:c>
      <x:c r="E10" s="16" t="n">
        <x:f>COUNTIFS(Thắng!$A$6:$A$306,"&lt;&gt;",Thắng!$C$6:$C$306,D10)+COUNTIFS(Sang!$A$6:$A$306,"&lt;&gt;",Sang!$C$6:$C$306,D10)+COUNTIFS(Nguyên!$A$6:$A$306,"&lt;&gt;",Nguyên!$C$6:$C$306,D10)</x:f>
        <x:v>24</x:v>
      </x:c>
      <x:c r="F10" s="2" t="n"/>
    </x:row>
    <x:row r="11" s="24" customFormat="1" ht="24.75" customHeight="1">
      <x:c r="A11" s="11" t="inlineStr">
        <x:is>
          <x:t xml:space="preserve">Nguyên</x:t>
        </x:is>
      </x:c>
      <x:c r="B11" s="13" t="n">
        <x:f>COUNTIF(Nguyên!$A$6:$A$306,"&lt;&gt;")</x:f>
        <x:v>3</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
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420faf75af4994" /></Relationships>
</file>

<file path=xl/workbook.xml><?xml version="1.0" encoding="utf-8"?>
<x:workbook xmlns:x="http://schemas.openxmlformats.org/spreadsheetml/2006/main">
  <x:sheets>
    <x:sheet xmlns:r="http://schemas.openxmlformats.org/officeDocument/2006/relationships" name="Thắng" sheetId="1" r:id="R665cfefdb5094e50"/>
    <x:sheet xmlns:r="http://schemas.openxmlformats.org/officeDocument/2006/relationships" name="Nguyên" sheetId="2" r:id="R0079708dc7b7414e"/>
    <x:sheet xmlns:r="http://schemas.openxmlformats.org/officeDocument/2006/relationships" name="Sang" sheetId="3" r:id="Rcc60734f377a4d45"/>
    <x:sheet xmlns:r="http://schemas.openxmlformats.org/officeDocument/2006/relationships" name="Tổng hợp" sheetId="4" r:id="R09fc99871b46405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3">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164" fontId="7" fillId="7" borderId="1" xfId="0" applyNumberFormat="1" applyFont="1" applyFill="1" applyBorder="1" applyAlignment="1">
      <x:alignment horizontal="center" vertical="center"/>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6e61e47605f4289" /><Relationship Type="http://schemas.openxmlformats.org/officeDocument/2006/relationships/theme" Target="/xl/theme/theme1.xml" Id="Rb5ae0cf250494ef7" /><Relationship Type="http://schemas.openxmlformats.org/officeDocument/2006/relationships/sharedStrings" Target="/xl/sharedStrings.xml" Id="Rf320555d0d8e4bf7" /><Relationship Type="http://schemas.openxmlformats.org/officeDocument/2006/relationships/worksheet" Target="/xl/worksheets/sheet1.xml" Id="R665cfefdb5094e50" /><Relationship Type="http://schemas.openxmlformats.org/officeDocument/2006/relationships/worksheet" Target="/xl/worksheets/sheet2.xml" Id="R0079708dc7b7414e" /><Relationship Type="http://schemas.openxmlformats.org/officeDocument/2006/relationships/worksheet" Target="/xl/worksheets/sheet3.xml" Id="Rcc60734f377a4d45" /><Relationship Type="http://schemas.openxmlformats.org/officeDocument/2006/relationships/worksheet" Target="/xl/worksheets/sheet4.xml" Id="R09fc99871b464050"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53a8150a31446ce" /></Relationships>
</file>

<file path=xl/worksheets/_rels/sheet2.xml.rels>&#65279;<?xml version="1.0" encoding="utf-8"?><Relationships xmlns="http://schemas.openxmlformats.org/package/2006/relationships"><Relationship Type="http://schemas.openxmlformats.org/officeDocument/2006/relationships/table" Target="/xl/tables/table2.xml" Id="R8e4a2334b5374a65" /></Relationships>
</file>

<file path=xl/worksheets/_rels/sheet3.xml.rels>&#65279;<?xml version="1.0" encoding="utf-8"?><Relationships xmlns="http://schemas.openxmlformats.org/package/2006/relationships"><Relationship Type="http://schemas.openxmlformats.org/officeDocument/2006/relationships/table" Target="/xl/tables/table3.xml" Id="Redfcc8bfab6f435d"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253a8150a31446ce"/>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32" customHeight="1">
      <x:c r="A6" s="29" t="n">
        <x:v>46307</x:v>
      </x:c>
      <x:c r="B6" s="18" t="inlineStr">
        <x:is>
          <x:t xml:space="preserve">Nguyên</x:t>
        </x:is>
      </x:c>
      <x:c r="C6" s="18" t="inlineStr">
        <x:is>
          <x:t xml:space="preserve">Codex</x:t>
        </x:is>
      </x:c>
      <x:c r="D6" s="19" t="inlineStr">
        <x:is>
          <x:t xml:space="preserve">Kiểm tra mức độ hoàn thành task W4 và tạo PR.</x:t>
        </x:is>
      </x:c>
      <x:c r="E6" s="19" t="inlineStr">
        <x:is>
          <x:t xml:space="preserve">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t>
        </x:is>
      </x:c>
      <x:c r="F6" s="19" t="inlineStr">
        <x:is>
          <x:t xml:space="preserve">nguyen/pr-W4-20261012.md
Prompt gốc: “đọc xem các task đã hoàn thiện chưa và hãy PR cho tôi”</x:t>
        </x:is>
      </x:c>
    </x:row>
    <x:row r="7" s="24" customFormat="1" ht="132" customHeight="1">
      <x:c r="A7" s="29" t="n">
        <x:v>46307</x:v>
      </x:c>
      <x:c r="B7" s="18" t="inlineStr">
        <x:is>
          <x:t xml:space="preserve">Nguyên</x:t>
        </x:is>
      </x:c>
      <x:c r="C7" s="18" t="inlineStr">
        <x:is>
          <x:t xml:space="preserve">Codex</x:t>
        </x:is>
      </x:c>
      <x:c r="D7" s="19" t="inlineStr">
        <x:is>
          <x:t xml:space="preserve">Chốt phạm vi PR cho các task W4, báo cáo và AI log.</x:t>
        </x:is>
      </x:c>
      <x:c r="E7" s="19" t="inlineStr">
        <x:is>
          <x:t xml:space="preserve">PR chỉ gồm các task W4, báo cáo tuần 4 và AI log liên quan. Giữ các tài liệu định hướng đề tài và kế hoạch 15 tuần ngoài phạm vi PR này.</x:t>
        </x:is>
      </x:c>
      <x:c r="F7" s="19" t="inlineStr">
        <x:is>
          <x:t xml:space="preserve">nguyen/pr-W4-20261012.md
Trả lời gốc: “Chỉ các task W4, báo cáo và AI log liên quan”</x:t>
        </x:is>
      </x:c>
    </x:row>
    <x:row r="8" s="24" customFormat="1" ht="132" customHeight="1">
      <x:c r="A8" s="29" t="n">
        <x:v>46307</x:v>
      </x:c>
      <x:c r="B8" s="18" t="inlineStr">
        <x:is>
          <x:t xml:space="preserve">Nguyên</x:t>
        </x:is>
      </x:c>
      <x:c r="C8" s="18" t="inlineStr">
        <x:is>
          <x:t xml:space="preserve">Codex</x:t>
        </x:is>
      </x:c>
      <x:c r="D8" s="19" t="inlineStr">
        <x:is>
          <x:t xml:space="preserve">Thu hẹp nội dung push theo task của Nguyên.</x:t>
        </x:is>
      </x:c>
      <x:c r="E8" s="19" t="inlineStr">
        <x:is>
          <x:t xml:space="preserve">Chỉ commit và push những thay đổi liên quan đến các task của Nguyên. Kiểm tra danh sách file và các phần dùng chung trước khi tạo PR, bảo toàn phần việc khác đang có trong workspace.</x:t>
        </x:is>
      </x:c>
      <x:c r="F8" s="19" t="inlineStr">
        <x:is>
          <x:t xml:space="preserve">nguyen/pr-W4-20261012.md
Prompt gốc: “chỉ push những gì liên quan đến task của Nguyên”</x:t>
        </x:is>
      </x:c>
    </x:row>
    <x:row r="9" s="24" customFormat="1" ht="36" customHeight="1">
      <x:c r="A9" s="29" t="n"/>
      <x:c r="B9" s="18" t="n"/>
      <x:c r="C9" s="18" t="n"/>
      <x:c r="D9" s="19" t="n"/>
      <x:c r="E9" s="19" t="n"/>
      <x:c r="F9" s="19" t="n"/>
    </x:row>
    <x:row r="10" s="24" customFormat="1" ht="36" customHeight="1">
      <x:c r="A10" s="29" t="n"/>
      <x:c r="B10" s="18" t="n"/>
      <x:c r="C10" s="18" t="n"/>
      <x:c r="D10" s="19" t="n"/>
      <x:c r="E10" s="19" t="n"/>
      <x:c r="F10" s="19" t="n"/>
    </x:row>
    <x:row r="11" s="24" customFormat="1" ht="36" customHeight="1">
      <x:c r="A11" s="29" t="n"/>
      <x:c r="B11" s="18" t="n"/>
      <x:c r="C11" s="18" t="n"/>
      <x:c r="D11" s="19" t="n"/>
      <x:c r="E11" s="19" t="n"/>
      <x:c r="F11" s="19" t="n"/>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8e4a2334b5374a65"/>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2" t="d">
        <x:v>2026-10-16T00:00:00.000Z</x:v>
      </x:c>
      <x:c r="B6" s="18" t="str">
        <x:v>Sang</x:v>
      </x:c>
      <x:c r="C6" s="18" t="str">
        <x:v>Codex</x:v>
      </x:c>
      <x:c r="D6" s="19" t="str">
        <x:v>Lọc phạm vi 6 task tuần 05</x:v>
      </x:c>
      <x:c r="E6" s="19" t="str">
        <x:v>Tìm file liên quan tới 6 task; chỉ chuyển 2 task đầu.</x:v>
      </x:c>
      <x:c r="F6" s="19" t="str">
        <x:v>https://github.com/thanglb2005/ai-assessor-cefr/pull/42 ; https://github.com/thanglb2005/ai-assessor-cefr/pull/43</x:v>
      </x:c>
    </x:row>
    <x:row r="7" s="24" customFormat="1" ht="36" customHeight="1">
      <x:c r="A7" s="32" t="d">
        <x:v>2026-10-16T00:00:00.000Z</x:v>
      </x:c>
      <x:c r="B7" s="18" t="str">
        <x:v>Sang</x:v>
      </x:c>
      <x:c r="C7" s="18" t="str">
        <x:v>Codex</x:v>
      </x:c>
      <x:c r="D7" s="19" t="str">
        <x:v>Giới hạn phạm vi SCRUM-71/72</x:v>
      </x:c>
      <x:c r="E7" s="19" t="str">
        <x:v>Chỉ chuyển 2 task đầu trước.</x:v>
      </x:c>
      <x:c r="F7" s="19" t="str">
        <x:v>https://github.com/thanglb2005/ai-assessor-cefr/pull/42 ; https://github.com/thanglb2005/ai-assessor-cefr/pull/43</x:v>
      </x:c>
    </x:row>
    <x:row r="8" s="24" customFormat="1" ht="36" customHeight="1">
      <x:c r="A8" s="32" t="d">
        <x:v>2026-10-16T00:00:00.000Z</x:v>
      </x:c>
      <x:c r="B8" s="18" t="str">
        <x:v>Sang</x:v>
      </x:c>
      <x:c r="C8" s="18" t="str">
        <x:v>Codex</x:v>
      </x:c>
      <x:c r="D8" s="19" t="str">
        <x:v>Đối chiếu task với plan</x:v>
      </x:c>
      <x:c r="E8" s="19" t="str">
        <x:v>Kiểm tra xem 2 task này đã đúng với trong plan chưa.</x:v>
      </x:c>
      <x:c r="F8" s="19" t="str">
        <x:v>https://github.com/thanglb2005/ai-assessor-cefr/pull/42 ; https://github.com/thanglb2005/ai-assessor-cefr/pull/43</x:v>
      </x:c>
    </x:row>
    <x:row r="9" s="24" customFormat="1" ht="36" customHeight="1">
      <x:c r="A9" s="32" t="d">
        <x:v>2026-10-16T00:00:00.000Z</x:v>
      </x:c>
      <x:c r="B9" s="18" t="str">
        <x:v>Sang</x:v>
      </x:c>
      <x:c r="C9" s="18" t="str">
        <x:v>Codex</x:v>
      </x:c>
      <x:c r="D9" s="19" t="str">
        <x:v>Owner và thứ tự chuyển task</x:v>
      </x:c>
      <x:c r="E9" s="19" t="str">
        <x:v>Task này của Thanh Sang; làm lần lượt SCRUM-71 rồi đến SCRUM-72.</x:v>
      </x:c>
      <x:c r="F9" s="19" t="str">
        <x:v>https://github.com/thanglb2005/ai-assessor-cefr/pull/42 ; https://github.com/thanglb2005/ai-assessor-cefr/pull/43</x:v>
      </x:c>
    </x:row>
    <x:row r="10" s="24" customFormat="1" ht="36" customHeight="1">
      <x:c r="A10" s="32" t="d">
        <x:v>2026-10-16T00:00:00.000Z</x:v>
      </x:c>
      <x:c r="B10" s="18" t="str">
        <x:v>Sang</x:v>
      </x:c>
      <x:c r="C10" s="18" t="str">
        <x:v>Codex</x:v>
      </x:c>
      <x:c r="D10" s="19" t="str">
        <x:v>Hoàn thiện, kiểm chứng và tạo PR</x:v>
      </x:c>
      <x:c r="E10" s="19" t="str">
        <x:v>Hoàn thiện hai task, chạy E2E một lần, push từng nhánh và tạo PR vào main.</x:v>
      </x:c>
      <x:c r="F10" s="19" t="str">
        <x:v>https://github.com/thanglb2005/ai-assessor-cefr/pull/42 ; https://github.com/thanglb2005/ai-assessor-cefr/pull/43</x:v>
      </x:c>
    </x:row>
    <x:row r="11" s="24" customFormat="1" ht="36" customHeight="1">
      <x:c r="A11" s="32" t="d">
        <x:v>2026-10-16T00:00:00.000Z</x:v>
      </x:c>
      <x:c r="B11" s="18" t="str">
        <x:v>Sang</x:v>
      </x:c>
      <x:c r="C11" s="18" t="str">
        <x:v>Codex</x:v>
      </x:c>
      <x:c r="D11" s="19" t="str">
        <x:v>Classifier phát âm SCRUM-71</x:v>
      </x:c>
      <x:c r="E11" s="19" t="str">
        <x:v>Giữ thứ tự source: ưu tiên /th/ và cụm phụ âm trước lỗi phụ âm cuối chung.</x:v>
      </x:c>
      <x:c r="F11" s="19" t="str">
        <x:v>https://github.com/thanglb2005/ai-assessor-cefr/pull/42</x:v>
      </x:c>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edfcc8bfab6f435d"/>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37</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6</x:v>
      </x:c>
      <x:c r="C10" s="2" t="n"/>
      <x:c r="D10" s="14" t="inlineStr">
        <x:is>
          <x:t xml:space="preserve">Codex</x:t>
        </x:is>
      </x:c>
      <x:c r="E10" s="16" t="n">
        <x:f>COUNTIFS(Thắng!$A$6:$A$306,"&lt;&gt;",Thắng!$C$6:$C$306,D10)+COUNTIFS(Sang!$A$6:$A$306,"&lt;&gt;",Sang!$C$6:$C$306,D10)+COUNTIFS(Nguyên!$A$6:$A$306,"&lt;&gt;",Nguyên!$C$6:$C$306,D10)</x:f>
        <x:v>19</x:v>
      </x:c>
      <x:c r="F10" s="2" t="n"/>
    </x:row>
    <x:row r="11" s="24" customFormat="1" ht="24.75" customHeight="1">
      <x:c r="A11" s="11" t="inlineStr">
        <x:is>
          <x:t xml:space="preserve">Nguyên</x:t>
        </x:is>
      </x:c>
      <x:c r="B11" s="13" t="n">
        <x:f>COUNTIF(Nguyên!$A$6:$A$306,"&lt;&gt;")</x:f>
        <x:v>3</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
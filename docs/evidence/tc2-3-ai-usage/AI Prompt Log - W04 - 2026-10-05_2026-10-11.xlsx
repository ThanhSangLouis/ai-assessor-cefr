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315" tabRatio="600" firstSheet="0" activeTab="0" autoFilterDateGrouping="1"/>
  </bookViews>
  <sheets>
    <sheet name="Thắng" sheetId="1" state="visible" r:id="rId1"/>
    <sheet name="Nguyên" sheetId="2" state="visible" r:id="rId2"/>
    <sheet name="Sang" sheetId="3" state="visible" r:id="rId3"/>
    <sheet name="Tổng hợp" sheetId="4" state="visible" r:id="rId4"/>
  </sheets>
  <definedNames/>
  <calcPr calcId="152511" calcMode="auto" fullCalcOnLoad="1" forceFullCalc="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00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tabSelected="1" workbookViewId="0">
      <pane xSplit="12" topLeftCell="M1" activePane="topRight" state="frozen"/>
      <selection pane="topRight" activeCell="A6" sqref="A6:F10"/>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04</t>
        </is>
      </c>
      <c r="F2" s="8" t="n"/>
    </row>
    <row r="3" ht="19.5" customHeight="1" s="24">
      <c r="A3" s="12" t="n"/>
      <c r="B3" s="7" t="n"/>
      <c r="C3" s="7" t="n"/>
      <c r="D3" s="8" t="n"/>
      <c r="E3" s="30" t="inlineStr">
        <is>
          <t>05/10/2026 – 11/10/2026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9" t="n">
        <v>46300</v>
      </c>
      <c r="B6" s="18" t="inlineStr">
        <is>
          <t>Thắng</t>
        </is>
      </c>
      <c r="C6" s="18" t="inlineStr">
        <is>
          <t>Codex</t>
        </is>
      </c>
      <c r="D6" s="19" t="inlineStr">
        <is>
          <t>Soạn báo cáo tiến độ tuần 3 theo kế hoạch</t>
        </is>
      </c>
      <c r="E6" s="19" t="inlineStr">
        <is>
          <t>Đọc các nhiệm vụ trong kế hoạch tuần 3 và soạn báo cáo tuần 3 theo cấu trúc báo cáo tuần 2 đã cung cấp. Trình bày nội dung theo kế hoạch tuần 3; không mô tả nhiệm vụ dự kiến như kết quả đã hoàn tất.</t>
        </is>
      </c>
      <c r="F6" s="19" t="inlineStr">
        <is>
          <t>docs/plan/week-03.md; docs/reports/week-03/bao-cao-tuan-03.docx</t>
        </is>
      </c>
    </row>
    <row r="7" ht="36" customHeight="1" s="24">
      <c r="A7" s="20" t="n">
        <v>46300</v>
      </c>
      <c r="B7" s="18" t="inlineStr">
        <is>
          <t>Thắng</t>
        </is>
      </c>
      <c r="C7" s="18" t="inlineStr">
        <is>
          <t>Codex</t>
        </is>
      </c>
      <c r="D7" s="19" t="inlineStr">
        <is>
          <t>Chỉnh lời văn báo cáo tuần 3 theo phong cách tuần 2, giữ nội dung theo kế hoạch; làm rõ thuật ngữ và sửa mốc thời gian theo kế hoạch.</t>
        </is>
      </c>
      <c r="E7" s="19" t="inlineStr">
        <is>
          <t>Rà soát và chỉnh sửa lời văn của báo cáo tuần 3 để rõ ràng, dễ hiểu và nhất quán với phong cách trình bày của báo cáo tuần 2.</t>
        </is>
      </c>
      <c r="F7" s="19" t="inlineStr">
        <is>
          <t>docs/plan/week-03.md; docs/reports/week-03/bao-cao-tuan-03-ban-de-xuat.docx</t>
        </is>
      </c>
    </row>
    <row r="8" ht="100" customHeight="1" s="24">
      <c r="A8" s="20" t="n">
        <v>46303</v>
      </c>
      <c r="B8" s="18" t="inlineStr">
        <is>
          <t>Thắng</t>
        </is>
      </c>
      <c r="C8" s="18" t="inlineStr">
        <is>
          <t>Codex</t>
        </is>
      </c>
      <c r="D8" s="19" t="inlineStr">
        <is>
          <t>Pull toàn bộ remote refs và cập nhật main trong repo chính</t>
        </is>
      </c>
      <c r="E8" s="19" t="inlineStr">
        <is>
          <t>Cập nhật đầy đủ mã nguồn từ remote vào repository tại /home/thanglvc/Documents/HCMUTE/TLCN/ai-assessor-cefr.</t>
        </is>
      </c>
      <c r="F8" s="19" t="inlineStr">
        <is>
          <t>docs/evidence/local-setup-2026-10-08.md; ../ai-assessor-cefr-runtime/README.md</t>
        </is>
      </c>
    </row>
    <row r="9" ht="100" customHeight="1" s="24">
      <c r="A9" s="20" t="n">
        <v>46303</v>
      </c>
      <c r="B9" s="18" t="inlineStr">
        <is>
          <t>Thắng</t>
        </is>
      </c>
      <c r="C9" s="18" t="inlineStr">
        <is>
          <t>Codex</t>
        </is>
      </c>
      <c r="D9" s="19" t="inlineStr">
        <is>
          <t>Kiểm tra repo/remote của thư mục tham chiếu; phát hiện thiếu Git HEAD/config</t>
        </is>
      </c>
      <c r="E9" s="19" t="inlineStr">
        <is>
          <t>Kiểm tra thư mục /home/thanglvc/Documents/HCMUTE/TLCN/ai-assessor-cefr-thamchie và xác định repository GitHub tương ứng.</t>
        </is>
      </c>
      <c r="F9" s="19" t="inlineStr">
        <is>
          <t>docs/evidence/local-setup-2026-10-08.md; ../ai-assessor-cefr-runtime/README.md</t>
        </is>
      </c>
    </row>
    <row r="10" ht="100" customHeight="1" s="24">
      <c r="A10" s="20" t="n">
        <v>46303</v>
      </c>
      <c r="B10" s="18" t="inlineStr">
        <is>
          <t>Thắng</t>
        </is>
      </c>
      <c r="C10" s="18" t="inlineStr">
        <is>
          <t>Codex</t>
        </is>
      </c>
      <c r="D10" s="19" t="inlineStr">
        <is>
          <t>Ghi nhận repo tham chiếu do Thắng xác nhận</t>
        </is>
      </c>
      <c r="E10" s="19" t="inlineStr">
        <is>
          <t>Xác nhận repository tương ứng với thư mục tham chiếu là https://github.com/ThanhSangLouis/ai-assessor-cefr.</t>
        </is>
      </c>
      <c r="F10" s="19" t="inlineStr">
        <is>
          <t>docs/evidence/local-setup-2026-10-08.md; ../ai-assessor-cefr-runtime/README.md</t>
        </is>
      </c>
    </row>
    <row r="11" ht="100" customHeight="1" s="24">
      <c r="A11" s="20" t="n">
        <v>46303</v>
      </c>
      <c r="B11" s="18" t="inlineStr">
        <is>
          <t>Thắng</t>
        </is>
      </c>
      <c r="C11" s="18" t="inlineStr">
        <is>
          <t>Codex</t>
        </is>
      </c>
      <c r="D11" s="19" t="inlineStr">
        <is>
          <t>Khảo sát dung lượng và metadata Git; yêu cầu khôi phục được hủy ở prompt kế tiếp</t>
        </is>
      </c>
      <c r="E11" s="19" t="inlineStr">
        <is>
          <t>Trước khi khôi phục cấu hình Git, hãy kiểm tra và giải thích chênh lệch dung lượng giữa repository chính tại /home/thanglvc/Documents/HCMUTE/TLCN/ai-assessor-cefr và thư mục tham chiếu. Thư mục tham chiếu có dung lượng khoảng 1,7 GB, trong khi repository chính nhỏ hơn đáng kể.</t>
        </is>
      </c>
      <c r="F11" s="19" t="inlineStr">
        <is>
          <t>docs/evidence/local-setup-2026-10-08.md; ../ai-assessor-cefr-runtime/README.md</t>
        </is>
      </c>
    </row>
    <row r="12" ht="150" customHeight="1" s="24">
      <c r="A12" s="20" t="n">
        <v>46303</v>
      </c>
      <c r="B12" s="18" t="inlineStr">
        <is>
          <t>Thắng</t>
        </is>
      </c>
      <c r="C12" s="18" t="inlineStr">
        <is>
          <t>Codex</t>
        </is>
      </c>
      <c r="D12" s="19" t="inlineStr">
        <is>
          <t>Cài môi trường/model repo chính, kiểm tra kỹ thuật; thay tham chiếu chờ người dùng duyệt</t>
        </is>
      </c>
      <c r="E12" s="19" t="inlineStr">
        <is>
          <t>Không cần khôi phục cấu hình Git. Hãy cài đặt đầy đủ môi trường, các dependency và model cần thiết để repository chính hoạt động ổn định. Sau khi hoàn tất, chờ tôi duyệt trước khi xóa thư mục tham chiếu hiện tại và clone repository ThanhSangLouis/ai-assessor-cefr để làm tham chiếu mới.</t>
        </is>
      </c>
      <c r="F12" s="19" t="inlineStr">
        <is>
          <t>docs/evidence/local-setup-2026-10-08.md; ../ai-assessor-cefr-runtime/README.md</t>
        </is>
      </c>
    </row>
    <row r="13" ht="100" customHeight="1" s="24">
      <c r="A13" s="20" t="n">
        <v>46303</v>
      </c>
      <c r="B13" s="18" t="inlineStr">
        <is>
          <t>Thắng</t>
        </is>
      </c>
      <c r="C13" s="18" t="inlineStr">
        <is>
          <t>Codex</t>
        </is>
      </c>
      <c r="D13" s="19" t="inlineStr">
        <is>
          <t>Tiếp tục cài đặt, full regression, model thật, browser QA và chuẩn bị app cho review</t>
        </is>
      </c>
      <c r="E13" s="19" t="inlineStr">
        <is>
          <t>Tiếp tục công việc cài đặt môi trường, model và kiểm tra hoạt động của repository chính theo yêu cầu đã trao đổi trước đó.</t>
        </is>
      </c>
      <c r="F13" s="19" t="inlineStr">
        <is>
          <t>docs/evidence/local-setup-2026-10-08.md; ../ai-assessor-cefr-runtime/README.md</t>
        </is>
      </c>
    </row>
    <row r="14" ht="36" customHeight="1" s="24">
      <c r="A14" s="20" t="n">
        <v>46303</v>
      </c>
      <c r="B14" s="18" t="inlineStr">
        <is>
          <t>Thắng</t>
        </is>
      </c>
      <c r="C14" s="18" t="inlineStr">
        <is>
          <t>Codex</t>
        </is>
      </c>
      <c r="D14" s="19" t="inlineStr">
        <is>
          <t>Đối chiếu capability/source và bổ sung chức năng thiếu trong repo chính</t>
        </is>
      </c>
      <c r="E14" s="19" t="inlineStr">
        <is>
          <t>Đối chiếu mã nguồn và chức năng của repository chính với thư mục tham chiếu để xác định những phần còn thiếu. Bổ sung mã nguồn và các chức năng cần thiết vào repository chính dựa trên kết quả đối chiếu.</t>
        </is>
      </c>
      <c r="F14" s="19" t="inlineStr">
        <is>
          <t>docs/evidence/parity-001-verification-2026-10-08.md; docs/sources/capability-comparison-2026-10-08.md</t>
        </is>
      </c>
    </row>
    <row r="15" ht="36" customHeight="1" s="24">
      <c r="A15" s="20" t="n">
        <v>46303</v>
      </c>
      <c r="B15" s="18" t="inlineStr">
        <is>
          <t>Thắng</t>
        </is>
      </c>
      <c r="C15" s="18" t="inlineStr">
        <is>
          <t>Codex</t>
        </is>
      </c>
      <c r="D15" s="19" t="inlineStr">
        <is>
          <t>Xác nhận phạm vi đầy đủ chức năng, gồm quản trị và thống kê</t>
        </is>
      </c>
      <c r="E15" s="19" t="inlineStr">
        <is>
          <t>Bổ sung đầy đủ các chức năng còn thiếu trong repository chính, bao gồm chức năng quản trị và thống kê.</t>
        </is>
      </c>
      <c r="F15" s="19" t="inlineStr">
        <is>
          <t>docs/evidence/parity-001-verification-2026-10-08.md; docs/sources/capability-comparison-2026-10-08.md</t>
        </is>
      </c>
    </row>
    <row r="16" ht="36" customHeight="1" s="24">
      <c r="A16" s="20" t="n">
        <v>46303</v>
      </c>
      <c r="B16" s="18" t="inlineStr">
        <is>
          <t>Thắng</t>
        </is>
      </c>
      <c r="C16" s="18" t="inlineStr">
        <is>
          <t>Codex</t>
        </is>
      </c>
      <c r="D16" s="19" t="inlineStr">
        <is>
          <t>Biên tập lời văn cột Prompt đã dùng trong sheet Thắng</t>
        </is>
      </c>
      <c r="E16" s="19" t="inlineStr">
        <is>
          <t>Rà soát và biên tập nội dung cột “Prompt đã dùng” trong AI Prompt Log để diễn đạt rõ ràng, chuyên nghiệp hơn, dựa trên prompt gốc. Chỉ chỉnh sheet “Thắng” và giữ đúng ý, phạm vi của từng yêu cầu.</t>
        </is>
      </c>
      <c r="F16" s="19" t="inlineStr">
        <is>
          <t>../ai-assessor-cefr-runtime/evidence/prompt-log-edit-2026-10-08.json</t>
        </is>
      </c>
    </row>
    <row r="17" ht="36" customHeight="1" s="24">
      <c r="A17" s="20" t="n">
        <v>46303</v>
      </c>
      <c r="B17" s="18" t="inlineStr">
        <is>
          <t>Thắng</t>
        </is>
      </c>
      <c r="C17" s="18" t="inlineStr">
        <is>
          <t>Codex</t>
        </is>
      </c>
      <c r="D17" s="19" t="inlineStr">
        <is>
          <t>Pull mã nguồn mới nhất từ repository của Sang</t>
        </is>
      </c>
      <c r="E17" s="19" t="inlineStr">
        <is>
          <t>Pull mã nguồn mới nhất từ repository ThanhSangLouis/ai-assessor-cefr vào bản clone của Sang dùng để tham chiếu.</t>
        </is>
      </c>
      <c r="F17" s="19" t="inlineStr">
        <is>
          <t>../ai-assessor-cefr-runtime/evidence/sang-update-2026-10-08/manifest.json</t>
        </is>
      </c>
    </row>
    <row r="18" ht="36" customHeight="1" s="24">
      <c r="A18" s="20" t="n">
        <v>46303</v>
      </c>
      <c r="B18" s="18" t="inlineStr">
        <is>
          <t>Thắng</t>
        </is>
      </c>
      <c r="C18" s="18" t="inlineStr">
        <is>
          <t>Codex</t>
        </is>
      </c>
      <c r="D18" s="19" t="inlineStr">
        <is>
          <t>Tách AI Prompt Log thành bốn workbook theo tuần</t>
        </is>
      </c>
      <c r="E18" s="19" t="inlineStr">
        <is>
          <t>Tách AI Prompt Log.xlsx thành bốn file tương ứng với bốn tuần đã làm việc. Mỗi tuần được tính từ thứ Hai đến Chủ nhật.</t>
        </is>
      </c>
      <c r="F18" s="19" t="inlineStr">
        <is>
          <t>docs/evidence/tc2-3-ai-usage/README.md; ../ai-assessor-cefr-runtime/evidence/weekly-prompt-logs-2026-10-08.json</t>
        </is>
      </c>
    </row>
    <row r="19" ht="36" customHeight="1" s="24">
      <c r="A19" s="25" t="n">
        <v>46303</v>
      </c>
      <c r="B19" s="26" t="inlineStr">
        <is>
          <t>Thắng</t>
        </is>
      </c>
      <c r="C19" s="26" t="inlineStr">
        <is>
          <t>Codex</t>
        </is>
      </c>
      <c r="D19" s="27" t="inlineStr">
        <is>
          <t>Chuẩn bị workbook AI Prompt Log trống cho tuần 5 và 6</t>
        </is>
      </c>
      <c r="E19" s="27" t="inlineStr">
        <is>
          <t>Tạo sẵn file AI Prompt Log cho tuần 5 và tuần 6, để trống các bản ghi và giữ cấu trúc sheet, định dạng cùng công thức tổng hợp.</t>
        </is>
      </c>
      <c r="F19" s="27" t="inlineStr">
        <is>
          <t>docs/evidence/tc2-3-ai-usage/README.md; ../ai-assessor-cefr-runtime/evidence/prompt-log-w05-w06-2026-10-08.json</t>
        </is>
      </c>
    </row>
    <row r="20" ht="36" customHeight="1" s="24">
      <c r="A20" s="25" t="n">
        <v>46303</v>
      </c>
      <c r="B20" s="26" t="inlineStr">
        <is>
          <t>Thắng</t>
        </is>
      </c>
      <c r="C20" s="26" t="inlineStr">
        <is>
          <t>Codex</t>
        </is>
      </c>
      <c r="D20" s="27" t="inlineStr">
        <is>
          <t>Rà soát các thư mục và đề xuất dọn dẹp repository</t>
        </is>
      </c>
      <c r="E20" s="27" t="inlineStr">
        <is>
          <t>Rà soát các repository và thư mục liên quan trong workspace; báo cáo vai trò, dung lượng và đề xuất những thư mục nên giữ hoặc có thể xóa.</t>
        </is>
      </c>
      <c r="F20" s="27" t="inlineStr">
        <is>
          <t>../ai-assessor-cefr-runtime/evidence/cleanup-survey-2026-10-08.json</t>
        </is>
      </c>
    </row>
    <row r="21" ht="36" customHeight="1" s="24">
      <c r="A21" s="25" t="n">
        <v>46303</v>
      </c>
      <c r="B21" s="26" t="inlineStr">
        <is>
          <t>Thắng</t>
        </is>
      </c>
      <c r="C21" s="26" t="inlineStr">
        <is>
          <t>Codex</t>
        </is>
      </c>
      <c r="D21" s="27" t="inlineStr">
        <is>
          <t>Dọn thư mục tham chiếu cũ và cache pip</t>
        </is>
      </c>
      <c r="E21" s="27" t="inlineStr">
        <is>
          <t>Xóa ai-assessor-cefr-thamchie và ai-assessor-cefr-runtime/cache/pip theo yêu cầu. Trước khi xóa, sao lưu source, tài liệu và dữ liệu local cần giữ; kiểm tra bản sao lưu và xác nhận repo chính vẫn hoạt động sau khi dọn.</t>
        </is>
      </c>
      <c r="F21" s="27" t="inlineStr">
        <is>
          <t>docs/evidence/cleanup-2026-10-08.md; ../ai-assessor-cefr-runtime/evidence/cleanup-execution-2026-10-08.json</t>
        </is>
      </c>
    </row>
    <row r="22" ht="36" customHeight="1" s="24">
      <c r="A22" s="25" t="n">
        <v>46303</v>
      </c>
      <c r="B22" s="26" t="inlineStr">
        <is>
          <t>Thắng</t>
        </is>
      </c>
      <c r="C22" s="26" t="inlineStr">
        <is>
          <t>Codex</t>
        </is>
      </c>
      <c r="D22" s="27" t="inlineStr">
        <is>
          <t>Khởi chạy repo tham chiếu Sang trên localhost</t>
        </is>
      </c>
      <c r="E22" s="27" t="inlineStr">
        <is>
          <t>Chạy source trong repo Sang trên máy local; chuẩn bị dependency cần thiết, dùng database riêng, xác minh đăng nhập các vai trò và ASR thật; giữ app repo chính tiếp tục hoạt động.</t>
        </is>
      </c>
      <c r="F22" s="27" t="inlineStr">
        <is>
          <t>../ai-assessor-cefr-runtime/sang/README.md; ../ai-assessor-cefr-runtime/sang/verification.json; ../ai-assessor-cefr-runtime/sang/asr-smoke.json</t>
        </is>
      </c>
    </row>
    <row r="23" ht="36" customHeight="1" s="24">
      <c r="A23" s="25" t="n">
        <v>46303</v>
      </c>
      <c r="B23" s="26" t="inlineStr">
        <is>
          <t>Thắng</t>
        </is>
      </c>
      <c r="C23" s="26" t="inlineStr">
        <is>
          <t>Codex</t>
        </is>
      </c>
      <c r="D23" s="27" t="inlineStr">
        <is>
          <t>Nhập AI Usage Log của Sang vào Prompt Log theo tuần</t>
        </is>
      </c>
      <c r="E23" s="27" t="inlineStr">
        <is>
          <t>Nhập dữ liệu từ docs/evidence/tc2-3-ai-usage/sang/ai-usage-log-sang-W1-W3.csv vào sheet Sang của các workbook tuần tương ứng. Phân tuần từ thứ Hai đến Chủ nhật theo ngày gốc; giữ đầy đủ prompt, công cụ, model, minh chứng, nội dung AI tạo và phần Sang hoàn thiện. Đối chiếu đủ bản ghi và cập nhật Tổng hợp.</t>
        </is>
      </c>
      <c r="F23" s="27" t="inlineStr">
        <is>
          <t>docs/evidence/tc2-3-ai-usage/sang/README.md; ../ai-assessor-cefr-runtime/evidence/sang-csv-import-2026-10-08.json</t>
        </is>
      </c>
    </row>
    <row r="24" ht="36" customHeight="1" s="24">
      <c r="A24" s="25" t="n">
        <v>46303</v>
      </c>
      <c r="B24" s="26" t="inlineStr">
        <is>
          <t>Thắng</t>
        </is>
      </c>
      <c r="C24" s="26" t="inlineStr">
        <is>
          <t>Codex</t>
        </is>
      </c>
      <c r="D24" s="27" t="inlineStr">
        <is>
          <t>Chuẩn bị commit và push toàn bộ thay đổi repo chính vào main</t>
        </is>
      </c>
      <c r="E24" s="27" t="inlineStr">
        <is>
          <t>Rà toàn bộ thay đổi trong repo chính, kiểm tra trạng thái main trên remote và chạy các kiểm tra cần thiết. Chuẩn bị gói code, tài liệu và Prompt Log để push vào main; đề xuất tên commit và chờ người dùng duyệt trước khi commit hoặc push.</t>
        </is>
      </c>
      <c r="F24" s="27" t="inlineStr">
        <is>
          <t>../ai-assessor-cefr-runtime/evidence/pre-push-2026-10-08-pytest.log; ../ai-assessor-cefr-runtime/evidence/pre-push-2026-10-08.json</t>
        </is>
      </c>
    </row>
    <row r="25" ht="36" customHeight="1" s="24">
      <c r="A25" s="25" t="n">
        <v>46303</v>
      </c>
      <c r="B25" s="26" t="inlineStr">
        <is>
          <t>Thắng</t>
        </is>
      </c>
      <c r="C25" s="26" t="inlineStr">
        <is>
          <t>Codex</t>
        </is>
      </c>
      <c r="D25" s="27" t="inlineStr">
        <is>
          <t>Commit và push main theo tên đã duyệt</t>
        </is>
      </c>
      <c r="E25" s="27" t="inlineStr">
        <is>
          <t>Người dùng duyệt tên commit “feat(PARITY-001): hoàn thiện chức năng, quản trị và Prompt Log theo tuần” và cho phép push vào main của repo chính. Kiểm tra gói thay đổi đã duyệt, cập nhật log, commit và push; đối chiếu commit trên remote sau khi thực hiện.</t>
        </is>
      </c>
      <c r="F25" s="27" t="inlineStr">
        <is>
          <t>../ai-assessor-cefr-runtime/evidence/pre-push-2026-10-08.json; git log; origin/main</t>
        </is>
      </c>
    </row>
    <row r="26" ht="36" customHeight="1" s="24">
      <c r="A26" s="25" t="n"/>
      <c r="B26" s="26" t="n"/>
      <c r="C26" s="26" t="n"/>
      <c r="D26" s="27" t="n"/>
      <c r="E26" s="27" t="n"/>
      <c r="F26" s="27" t="n"/>
    </row>
    <row r="27" ht="36" customHeight="1" s="24">
      <c r="A27" s="25" t="n"/>
      <c r="B27" s="26" t="n"/>
      <c r="C27" s="26" t="n"/>
      <c r="D27" s="27" t="n"/>
      <c r="E27" s="27" t="n"/>
      <c r="F27" s="27" t="n"/>
    </row>
    <row r="28" ht="36" customHeight="1" s="24">
      <c r="A28" s="25" t="n"/>
      <c r="B28" s="26" t="n"/>
      <c r="C28" s="26" t="n"/>
      <c r="D28" s="27" t="n"/>
      <c r="E28" s="27" t="n"/>
      <c r="F28" s="27" t="n"/>
    </row>
    <row r="29" ht="36" customHeight="1" s="24">
      <c r="A29" s="25" t="n"/>
      <c r="B29" s="26" t="n"/>
      <c r="C29" s="26" t="n"/>
      <c r="D29" s="27" t="n"/>
      <c r="E29" s="27" t="n"/>
      <c r="F29" s="27" t="n"/>
    </row>
    <row r="30" ht="36" customHeight="1" s="24">
      <c r="A30" s="25" t="n"/>
      <c r="B30" s="26" t="n"/>
      <c r="C30" s="26" t="n"/>
      <c r="D30" s="27" t="n"/>
      <c r="E30" s="27" t="n"/>
      <c r="F30" s="27" t="n"/>
    </row>
    <row r="31" ht="36" customHeight="1" s="24">
      <c r="A31" s="29"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04</t>
        </is>
      </c>
      <c r="F2" s="8" t="n"/>
    </row>
    <row r="3" ht="19.5" customHeight="1" s="24">
      <c r="A3" s="12" t="n"/>
      <c r="B3" s="7" t="n"/>
      <c r="C3" s="7" t="n"/>
      <c r="D3" s="8" t="n"/>
      <c r="E3" s="30" t="inlineStr">
        <is>
          <t>05/10/2026 – 11/10/2026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9" t="n"/>
      <c r="B6" s="18" t="n"/>
      <c r="C6" s="18" t="n"/>
      <c r="D6" s="19" t="n"/>
      <c r="E6" s="19" t="n"/>
      <c r="F6" s="19" t="n"/>
    </row>
    <row r="7" ht="36" customHeight="1" s="24">
      <c r="A7" s="29" t="n"/>
      <c r="B7" s="18" t="n"/>
      <c r="C7" s="18" t="n"/>
      <c r="D7" s="19" t="n"/>
      <c r="E7" s="19" t="n"/>
      <c r="F7" s="19" t="n"/>
    </row>
    <row r="8" ht="36" customHeight="1" s="24">
      <c r="A8" s="29" t="n"/>
      <c r="B8" s="18" t="n"/>
      <c r="C8" s="18" t="n"/>
      <c r="D8" s="19" t="n"/>
      <c r="E8" s="19" t="n"/>
      <c r="F8" s="19" t="n"/>
    </row>
    <row r="9" ht="36" customHeight="1" s="24">
      <c r="A9" s="29" t="n"/>
      <c r="B9" s="18" t="n"/>
      <c r="C9" s="18" t="n"/>
      <c r="D9" s="19" t="n"/>
      <c r="E9" s="19" t="n"/>
      <c r="F9" s="19" t="n"/>
    </row>
    <row r="10" ht="36" customHeight="1" s="24">
      <c r="A10" s="29" t="n"/>
      <c r="B10" s="18" t="n"/>
      <c r="C10" s="18" t="n"/>
      <c r="D10" s="19" t="n"/>
      <c r="E10" s="19" t="n"/>
      <c r="F10" s="19" t="n"/>
    </row>
    <row r="11" ht="36" customHeight="1" s="24">
      <c r="A11" s="29" t="n"/>
      <c r="B11" s="18" t="n"/>
      <c r="C11" s="18" t="n"/>
      <c r="D11" s="19" t="n"/>
      <c r="E11" s="19" t="n"/>
      <c r="F11" s="19" t="n"/>
    </row>
    <row r="12" ht="36" customHeight="1" s="24">
      <c r="A12" s="29" t="n"/>
      <c r="B12" s="18" t="n"/>
      <c r="C12" s="18" t="n"/>
      <c r="D12" s="19" t="n"/>
      <c r="E12" s="19" t="n"/>
      <c r="F12" s="19" t="n"/>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04</t>
        </is>
      </c>
      <c r="F2" s="8" t="n"/>
    </row>
    <row r="3" ht="19.5" customHeight="1" s="24">
      <c r="A3" s="12" t="n"/>
      <c r="B3" s="7" t="n"/>
      <c r="C3" s="7" t="n"/>
      <c r="D3" s="8" t="n"/>
      <c r="E3" s="30" t="inlineStr">
        <is>
          <t>05/10/2026 – 11/10/2026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9" t="n">
        <v>46301</v>
      </c>
      <c r="B6" s="18" t="inlineStr">
        <is>
          <t>Sang</t>
        </is>
      </c>
      <c r="C6" s="18" t="inlineStr">
        <is>
          <t>Claude</t>
        </is>
      </c>
      <c r="D6" s="19" t="inlineStr">
        <is>
          <t>Định hướng sản phẩm — đề xuất mở rộng đề tài thành nền tảng luyện nói có AI chấm theo CEFR ("Đánh giá để học")</t>
        </is>
      </c>
      <c r="E6" s="19" t="inlineStr">
        <is>
          <t>Đề xuất ý tưởng mở rộng đề tài thành một nền tảng luyện nói tiếng Anh có tích hợp mô hình AI chấm theo khung CEFR. Đánh giá hướng này có mâu thuẫn với tên đề tài đã đăng ký hay không; nêu phạm vi, rủi ro và cách trình bày để xin ý kiến GVHD trước khi đổi phạm vi.</t>
        </is>
      </c>
      <c r="F6" s="19" t="inlineStr">
        <is>
          <t>https://github.com/ThanhSangLouis/ai-assessor-cefr/pull/5
Phiên bản / model: Claude Opus 5.5 (Claude Code, desktop app)
Nội dung AI tạo ra: Bản đề xuất "Đánh giá để học": vòng chẩn đoán → luyện đúng chỗ yếu → đo lại; đối chiếu với tên đề tài (vẫn là công cụ hỗ trợ đánh giá, không cấp chứng chỉ); ghi rõ phần chờ GVHD duyệt (Jira SCRUM-54). Thiết kế D023 ghi trong decision log của PR #5.
Phần Sang đã sửa / hoàn thiện: Sang chọn hướng đề xuất và yêu cầu hiện thực ngay trong repo cá nhân, giữ repo nộp bài chờ GVHD trả lời.</t>
        </is>
      </c>
    </row>
    <row r="7" ht="36" customHeight="1" s="24">
      <c r="A7" s="29" t="n">
        <v>46301</v>
      </c>
      <c r="B7" s="18" t="inlineStr">
        <is>
          <t>Sang</t>
        </is>
      </c>
      <c r="C7" s="18" t="inlineStr">
        <is>
          <t>Claude</t>
        </is>
      </c>
      <c r="D7" s="19" t="inlineStr">
        <is>
          <t>Hiện thực chế độ luyện tập theo nhiệm vụ (D023) và kiểm thử ba tầng</t>
        </is>
      </c>
      <c r="E7" s="19" t="inlineStr">
        <is>
          <t>Hiện thực chế độ luyện tập theo nhiệm vụ vào repo gốc (không phải repo học bài), tham khảo cách tổ chức phần luyện tập của các ứng dụng học ngôn ngữ phổ biến nhưng bỏ cơ chế gây hại như bảng xếp hạng. Sau đó kiểm chứng và viết đủ test ba tầng (unit, integration, E2E) cho tính năng mới, tự chạy toàn bộ test và báo kết quả.</t>
        </is>
      </c>
      <c r="F7" s="19" t="inlineStr">
        <is>
          <t>https://github.com/ThanhSangLouis/ai-assessor-cefr/pull/5
Phiên bản / model: Claude Opus 5.5 (Claude Code, desktop app)
Nội dung AI tạo ra: Đề luyện theo tiêu chí và band, mục tiêu đo bằng luật đếm được (thời lượng, khoảng lặng, từ cần dùng…), kết quả luyện không chấm điểm overall; test unit/integration/E2E và tài liệu thiết kế D023.
Phần Sang đã sửa / hoàn thiện: Sang xem bản chạy thử trên localhost, yêu cầu merge PR #5; đặt câu hỏi về cách chia repo phát triển và repo nộp bài, chọn phương án tối ưu theo tư vấn.</t>
        </is>
      </c>
    </row>
    <row r="8" ht="36" customHeight="1" s="24">
      <c r="A8" s="29" t="n">
        <v>46301</v>
      </c>
      <c r="B8" s="18" t="inlineStr">
        <is>
          <t>Sang</t>
        </is>
      </c>
      <c r="C8" s="18" t="inlineStr">
        <is>
          <t>Claude</t>
        </is>
      </c>
      <c r="D8" s="19" t="inlineStr">
        <is>
          <t>Thiết kế lại giao diện web theo vai trò (D024)</t>
        </is>
      </c>
      <c r="E8" s="19" t="inlineStr">
        <is>
          <t>Thiết kế lại giao diện web cho thuận tiện theo từng vai trò sinh viên, giảng viên, quản trị; luồng ghi âm cho nghe lại trước khi nộp; giữ đúng các ràng buộc hiện có (CSP, không tải tài nguyên ngoài).</t>
        </is>
      </c>
      <c r="F8" s="19" t="inlineStr">
        <is>
          <t>https://github.com/ThanhSangLouis/ai-assessor-cefr/pull/6
Phiên bản / model: Claude Opus 5.5 (Claude Code, desktop app)
Nội dung AI tạo ra: Trang theo vai trò, luồng ghi âm nghe lại rồi mới nộp, test giao diện và E2E đi kèm.
Phần Sang đã sửa / hoàn thiện: Sang dùng thử và đưa yêu cầu tiếp theo về lộ trình bài học.</t>
        </is>
      </c>
    </row>
    <row r="9" ht="36" customHeight="1" s="24">
      <c r="A9" s="29" t="n">
        <v>46301</v>
      </c>
      <c r="B9" s="18" t="inlineStr">
        <is>
          <t>Sang</t>
        </is>
      </c>
      <c r="C9" s="18" t="inlineStr">
        <is>
          <t>Claude</t>
        </is>
      </c>
      <c r="D9" s="19" t="inlineStr">
        <is>
          <t>Lộ trình bài học do giáo viên soạn và giao diện học thuật (D025–D027)</t>
        </is>
      </c>
      <c r="E9" s="19" t="inlineStr">
        <is>
          <t>Làm lại lộ trình luyện tập thành các bài học rõ ràng, nhiều dạng bài đi từ đọc theo văn bản có từ gợi ý tới nói tự do, từ cơ bản tới nâng cao. Duyệt toàn bộ khuyến nghị và cải tạo lớn giao diện như sản phẩm bán cho khách hàng thật: thêm icon thay bớt chữ, dùng thanh điều khiển bên cạnh thay cho tab ngang.</t>
        </is>
      </c>
      <c r="F9" s="19" t="inlineStr">
        <is>
          <t>https://github.com/ThanhSangLouis/ai-assessor-cefr/pull/7
Phiên bản / model: Claude Opus 5.5 (Claude Code, desktop app)
Nội dung AI tạo ra: Mô hình bài học bốn bậc, bộ đo theo luật cho từng dạng bước, trang soạn bài cho giảng viên, lộ trình dạng đường đi, thanh điều khiển và bộ icon; đặc tả, kế hoạch kiểm thử, sơ đồ.
Phần Sang đã sửa / hoàn thiện: Sang báo lỗi ở bước "đọc to có từ gợi ý" (kèm nội dung lỗi) để sửa, và yêu cầu chuyển thanh điều khiển sang bên trái.</t>
        </is>
      </c>
    </row>
    <row r="10" ht="36" customHeight="1" s="24">
      <c r="A10" s="29" t="n">
        <v>46302</v>
      </c>
      <c r="B10" s="18" t="inlineStr">
        <is>
          <t>Sang</t>
        </is>
      </c>
      <c r="C10" s="18" t="inlineStr">
        <is>
          <t>Claude</t>
        </is>
      </c>
      <c r="D10" s="19" t="inlineStr">
        <is>
          <t>Hoàn thiện sản phẩm: tài khoản, hồ sơ cá nhân, đăng nhập Google, thang band (D028, D029)</t>
        </is>
      </c>
      <c r="E10" s="19" t="inlineStr">
        <is>
          <t>Làm đầy đủ và chỉn chu các chức năng còn thiếu của sản phẩm trong repo cá nhân, không cần chờ duyệt từng bước: quản lý tài khoản, mật khẩu tạm, hồ sơ cá nhân, phiên đăng nhập, đăng nhập Google, trang thang band; cập nhật tài liệu theo phiên bản.</t>
        </is>
      </c>
      <c r="F10" s="19" t="inlineStr">
        <is>
          <t>https://github.com/ThanhSangLouis/ai-assessor-cefr/pull/8
Phiên bản / model: Claude Opus 5.5 (Claude Code, desktop app)
Nội dung AI tạo ra: Tài khoản và mật khẩu tạm, hồ sơ cá nhân, quản lý phiên, đăng nhập Google, trang band; đặc tả, kế hoạch kiểm thử và bảng kê giấy phép.
Phần Sang đã sửa / hoàn thiện: Sang giao quyền làm trọn bộ chức năng trong repo cá nhân và xem kết quả trước khi merge.</t>
        </is>
      </c>
    </row>
    <row r="11" ht="36" customHeight="1" s="24">
      <c r="A11" s="29" t="n">
        <v>46302</v>
      </c>
      <c r="B11" s="18" t="inlineStr">
        <is>
          <t>Sang</t>
        </is>
      </c>
      <c r="C11" s="18" t="inlineStr">
        <is>
          <t>Claude</t>
        </is>
      </c>
      <c r="D11" s="19" t="inlineStr">
        <is>
          <t>Chấm mù kép trong ứng dụng và báo cáo đồng thuận (D030)</t>
        </is>
      </c>
      <c r="E11" s="19" t="inlineStr">
        <is>
          <t>Tiếp tục hoàn thiện theo kế hoạch: đưa quy trình chấm mù kép của giảng viên vào ứng dụng (giám khảo không thấy điểm máy) và xuất báo cáo đồng thuận giữa người chấm.</t>
        </is>
      </c>
      <c r="F11" s="19" t="inlineStr">
        <is>
          <t>https://github.com/ThanhSangLouis/ai-assessor-cefr/pull/9
Phiên bản / model: Claude Opus 5.5 (Claude Code, desktop app)
Nội dung AI tạo ra: Lô chấm, phân công hai giám khảo, phiếu chấm mù, báo cáo đồng thuận; test ba tầng.
Phần Sang đã sửa / hoàn thiện: Sang xem và merge PR.</t>
        </is>
      </c>
    </row>
    <row r="12" ht="36" customHeight="1" s="24">
      <c r="A12" s="29" t="n">
        <v>46302</v>
      </c>
      <c r="B12" s="18" t="inlineStr">
        <is>
          <t>Sang</t>
        </is>
      </c>
      <c r="C12" s="18" t="inlineStr">
        <is>
          <t>Claude</t>
        </is>
      </c>
      <c r="D12" s="19" t="inlineStr">
        <is>
          <t>Phông Roboto, logo mới, trang giới thiệu 3D, chiều sâu và chuyển động (D031)</t>
        </is>
      </c>
      <c r="E12" s="19" t="inlineStr">
        <is>
          <t>Dùng các MCP/connector thiết kế để làm giao diện đẹp, mượt và chuyên nghiệp: thiết kế lại logo, dùng phông Roboto, trang giới thiệu ít chữ có đồ hoạ 3D, đồ hoạ cho toàn bộ trang của project. Sau đó làm bề mặt bớt cảm giác "nhựa" và viết lại các câu slogan cho hay, chuyên nghiệp.</t>
        </is>
      </c>
      <c r="F12" s="19" t="inlineStr">
        <is>
          <t>https://github.com/ThanhSangLouis/ai-assessor-cefr/pull/10
Phiên bản / model: Claude Opus 5.5 (Claude Code, desktop app)
Nội dung AI tạo ra: Phông Roboto tự phục vụ, logo bong bóng ba thanh A2–B2, trang giới thiệu 3D, chiều sâu và chuyển động có tắt khi giảm chuyển động; test và kế hoạch kiểm thử D031.
Phần Sang đã sửa / hoàn thiện: Sang nhận xét giao diện "nhìn bị nhựa" để chỉnh lại bề mặt, yêu cầu viết lại slogan.</t>
        </is>
      </c>
    </row>
    <row r="13" ht="36" customHeight="1" s="24">
      <c r="A13" s="29" t="n">
        <v>46302</v>
      </c>
      <c r="B13" s="18" t="inlineStr">
        <is>
          <t>Sang</t>
        </is>
      </c>
      <c r="C13" s="18" t="inlineStr">
        <is>
          <t>Claude</t>
        </is>
      </c>
      <c r="D13" s="19" t="inlineStr">
        <is>
          <t>Rà và lấp chỗ thiếu của kế hoạch (giao lại phiếu chấm mù, QĐ-09, độ lặp lại của dụng cụ đo)</t>
        </is>
      </c>
      <c r="E13" s="19" t="inlineStr">
        <is>
          <t>Rà lại xem các tính năng mới đã đủ theo kế hoạch chưa; chỗ nào còn thiếu thì bổ sung và cập nhật tài liệu.</t>
        </is>
      </c>
      <c r="F13" s="19" t="inlineStr">
        <is>
          <t>https://github.com/ThanhSangLouis/ai-assessor-cefr/pull/11
Phiên bản / model: Claude Opus 5.5 (Claude Code, desktop app)
Nội dung AI tạo ra: Giao lại phiếu chấm mù không còn mù, bỏ filler_ratio khỏi bằng chứng Fluency (QĐ-09), công tắc nhiệt độ giải mã Whisper và công cụ đo độ lặp lại.
Phần Sang đã sửa / hoàn thiện: Sang xem danh sách chỗ thiếu và merge PR.</t>
        </is>
      </c>
    </row>
    <row r="14" ht="36" customHeight="1" s="24">
      <c r="A14" s="29" t="n">
        <v>46302</v>
      </c>
      <c r="B14" s="18" t="inlineStr">
        <is>
          <t>Sang</t>
        </is>
      </c>
      <c r="C14" s="18" t="inlineStr">
        <is>
          <t>Claude</t>
        </is>
      </c>
      <c r="D14" s="19" t="inlineStr">
        <is>
          <t>Thành tựu và nhịp luyện của người học (D032)</t>
        </is>
      </c>
      <c r="E14" s="19" t="inlineStr">
        <is>
          <t>Bổ sung chuỗi ngày luyện, thành tựu và các cơ chế tương tự để tăng mức độ gắn bó của người học, nhưng không dùng bảng xếp hạng hay thưởng theo điểm.</t>
        </is>
      </c>
      <c r="F14" s="19" t="inlineStr">
        <is>
          <t>https://github.com/ThanhSangLouis/ai-assessor-cefr/pull/12
Phiên bản / model: Claude Opus 5.5 (Claude Code, desktop app)
Nội dung AI tạo ra: 17 thành tựu theo công sức, kỷ lục chuỗi, ngày nghỉ được tính, so với tuần trước; test và đặc tả.
Phần Sang đã sửa / hoàn thiện: Sang xem và merge PR.</t>
        </is>
      </c>
    </row>
    <row r="15" ht="36" customHeight="1" s="24">
      <c r="A15" s="29" t="n">
        <v>46302</v>
      </c>
      <c r="B15" s="18" t="inlineStr">
        <is>
          <t>Sang</t>
        </is>
      </c>
      <c r="C15" s="18" t="inlineStr">
        <is>
          <t>Claude</t>
        </is>
      </c>
      <c r="D15" s="19" t="inlineStr">
        <is>
          <t>Mô hình gói dịch vụ và luồng thanh toán (D033, D034)</t>
        </is>
      </c>
      <c r="E15" s="19" t="inlineStr">
        <is>
          <t>Thêm luồng thanh toán cho sản phẩm; đề xuất cách nâng cấp gói có giá trị thật cho người mua và giải thích rõ khái niệm "chỗ" trong bảng giá.</t>
        </is>
      </c>
      <c r="F15" s="19" t="inlineStr">
        <is>
          <t>https://github.com/ThanhSangLouis/ai-assessor-cefr/pull/13 ; https://github.com/ThanhSangLouis/ai-assessor-cefr/pull/14
Phiên bản / model: Claude Opus 5.5 (Claude Code, desktop app)
Nội dung AI tạo ra: Đề xuất mô hình bán cho trường (D033, để ở trạng thái đề xuất); thang gói chỉ thêm (Miễn phí, Chuẩn, Nâng cao, Dùng thử), tính theo số sinh viên, cổng thanh toán thử trong ứng dụng, biên nhận (D034).
Phần Sang đã sửa / hoàn thiện: Sang hỏi lại khái niệm "slot" chưa rõ, yêu cầu tính theo cách nâng cấp xứng đáng; xem và merge PR.</t>
        </is>
      </c>
    </row>
    <row r="16" ht="36" customHeight="1" s="24">
      <c r="A16" s="29" t="n">
        <v>46302</v>
      </c>
      <c r="B16" s="18" t="inlineStr">
        <is>
          <t>Sang</t>
        </is>
      </c>
      <c r="C16" s="18" t="inlineStr">
        <is>
          <t>Claude</t>
        </is>
      </c>
      <c r="D16" s="19" t="inlineStr">
        <is>
          <t>Cấu hình thanh toán Stripe ở môi trường thử, thêm MoMo và VNPay (D035)</t>
        </is>
      </c>
      <c r="E16" s="19" t="inlineStr">
        <is>
          <t>Cấu hình thanh toán qua Stripe ở chế độ sandbox để thử trước; đồng thời tích hợp MoMo và VNPay để đa dạng cổng, quản trị viên chọn cổng cho từng đơn.</t>
        </is>
      </c>
      <c r="F16" s="19" t="inlineStr">
        <is>
          <t>https://github.com/ThanhSangLouis/ai-assessor-cefr/pull/14
Phiên bản / model: Claude Opus 5.5 (Claude Code, desktop app)
Nội dung AI tạo ra: Cổng Stripe Checkout (thử), MoMo captureWallet, VNPay; kiểm chữ ký, chống ghi nhận trùng, chặn tiền thật khi chưa bật cờ; test và hướng dẫn cài khoá.
Phần Sang đã sửa / hoàn thiện: Sang chọn Stripe vì có sandbox, yêu cầu thêm MoMo/VNPay; khoá dịch vụ sẽ tự đặt vào .env.</t>
        </is>
      </c>
    </row>
    <row r="17" ht="36" customHeight="1" s="24">
      <c r="A17" s="29" t="n">
        <v>46302</v>
      </c>
      <c r="B17" s="18" t="inlineStr">
        <is>
          <t>Sang</t>
        </is>
      </c>
      <c r="C17" s="18" t="inlineStr">
        <is>
          <t>Claude</t>
        </is>
      </c>
      <c r="D17" s="19" t="inlineStr">
        <is>
          <t>Đăng nhập Google dùng OAuth PKCE và khung cấu hình khoá (D036)</t>
        </is>
      </c>
      <c r="E17" s="19" t="inlineStr">
        <is>
          <t>Kiểm tra chức năng đăng nhập Google có dùng OAuth PKCE chưa; thiết kế đầy đủ luồng và phần cấu hình để chủ dự án đưa khoá sau. Đưa toàn bộ thay đổi chỉ vào repo gốc của chủ dự án.</t>
        </is>
      </c>
      <c r="F17" s="19" t="inlineStr">
        <is>
          <t>https://github.com/ThanhSangLouis/ai-assessor-cefr/pull/14
Phiên bản / model: Claude Opus 5.5 (Claude Code, desktop app)
Nội dung AI tạo ra: Giữ PKCE S256, thêm chữ ký cho cookie luồng và tiền tố __Host-, khung cấu hình Google cho quản trị viên, hai sơ đồ tuần tự.
Phần Sang đã sửa / hoàn thiện: Sang yêu cầu chỉ đưa vào repo gốc ThanhSangLouis/ai-assessor-cefr, không đưa sang repo nhóm; tự merge PR #14.</t>
        </is>
      </c>
    </row>
    <row r="18" ht="36" customHeight="1" s="24">
      <c r="A18" s="29" t="n">
        <v>46302</v>
      </c>
      <c r="B18" s="18" t="inlineStr">
        <is>
          <t>Sang</t>
        </is>
      </c>
      <c r="C18" s="18" t="inlineStr">
        <is>
          <t>Claude</t>
        </is>
      </c>
      <c r="D18" s="19" t="inlineStr">
        <is>
          <t>Ảnh nền và chuyển động vẽ bằng mã cho toàn bộ trang (D037)</t>
        </is>
      </c>
      <c r="E18" s="19" t="inlineStr">
        <is>
          <t>Làm giao diện có animation và hình nền riêng cho toàn bộ trang web thay cho nền mặc định (ban đầu đề nghị dùng Rive).</t>
        </is>
      </c>
      <c r="F18" s="19" t="inlineStr">
        <is>
          <t>https://github.com/ThanhSangLouis/ai-assessor-cefr/pull/15
Phiên bản / model: Claude Opus 5.5 (Claude Code, desktop app)
Nội dung AI tạo ra: Ảnh nền "bậc thang tiếng nói" do script tools/make_art.py vẽ (SVG, CSS), cảnh đồi có chuyển động ở trang giới thiệu và đăng nhập; test đo độ tương phản trên điểm ảnh.
Phần Sang đã sửa / hoàn thiện: Sang chọn vẽ trong code, không tải Rive, phạm vi toàn bộ trang web; tự merge PR #15.</t>
        </is>
      </c>
    </row>
    <row r="19" ht="36" customHeight="1" s="24">
      <c r="A19" s="29" t="n">
        <v>46303</v>
      </c>
      <c r="B19" s="18" t="inlineStr">
        <is>
          <t>Sang</t>
        </is>
      </c>
      <c r="C19" s="18" t="inlineStr">
        <is>
          <t>Claude</t>
        </is>
      </c>
      <c r="D19" s="19" t="inlineStr">
        <is>
          <t>Thiết kế — vẽ lại sơ đồ lớp v3 dạng gọn hướng đối tượng trên draw.io</t>
        </is>
      </c>
      <c r="E19" s="19" t="inlineStr">
        <is>
          <t>Vẽ lại sơ đồ lớp vào tệp draw.io trên Drive. Sau khi xem bản đầu, vẽ lại đơn giản như trang đầu tiên, chỉ giữ các phần chính, theo hướng OOP gọn vì đây là bản thiết kế sẽ được rã xuống code.</t>
        </is>
      </c>
      <c r="F19" s="19" t="inlineStr">
        <is>
          <t>https://github.com/ThanhSangLouis/ai-assessor-cefr/pull/16 ; https://app.diagrams.net/#G14Yt7sDxBX-t8wUy2cNQigj8AGnZFW2_H
Phiên bản / model: Claude Opus 5.5 (Claude Code, desktop app)
Nội dung AI tạo ra: Bản gọn 25 lớp: Actor trừu tượng với ba lớp con theo vai trò, interface PaymentGateway, hợp thành cho quan hệ sở hữu; bản đầy đủ thêm phần miền D025–D036; đẩy lên trang "So do lop v3".
Phần Sang đã sửa / hoàn thiện: Sang nhận xét bản đầu "phức tạp như tơ nhện", yêu cầu vẽ OOP gọn; tự merge PR #16.</t>
        </is>
      </c>
    </row>
    <row r="20" ht="36" customHeight="1" s="24">
      <c r="A20" s="29" t="n">
        <v>46303</v>
      </c>
      <c r="B20" s="18" t="inlineStr">
        <is>
          <t>Sang</t>
        </is>
      </c>
      <c r="C20" s="18" t="inlineStr">
        <is>
          <t>Claude</t>
        </is>
      </c>
      <c r="D20" s="19" t="inlineStr">
        <is>
          <t>Refactor — gộp mã trùng lặp, xoá mã chết</t>
        </is>
      </c>
      <c r="E20" s="19" t="inlineStr">
        <is>
          <t>Rà toàn bộ mã nguồn, chỗ nào dư thừa thì refactor lại mà không đổi hành vi.</t>
        </is>
      </c>
      <c r="F20" s="19" t="inlineStr">
        <is>
          <t>https://github.com/ThanhSangLouis/ai-assessor-cefr/pull/17
Phiên bản / model: Claude Opus 5.5 (Claude Code, desktop app)
Nội dung AI tạo ra: Lớp SqliteStore dùng chung cho bảy repository, helper ghi nhật ký kiểm toán, phân quyền và kiểm gói gom về deps, xoá 9 hàm/hằng không dùng, gộp bảng dùng chung của giao diện; chạy lại 1153 test và 73 test E2E.
Phần Sang đã sửa / hoàn thiện: Sang tự merge PR #17.</t>
        </is>
      </c>
    </row>
    <row r="21" ht="36" customHeight="1" s="24">
      <c r="A21" s="29" t="n">
        <v>46306</v>
      </c>
      <c r="B21" s="18" t="inlineStr">
        <is>
          <t>Sang</t>
        </is>
      </c>
      <c r="C21" s="18" t="inlineStr">
        <is>
          <t>Claude</t>
        </is>
      </c>
      <c r="D21" s="19" t="inlineStr">
        <is>
          <t>M03-TASK-002, M04-TASK-003 — smoke ASR/VAD thật trên repo nhóm</t>
        </is>
      </c>
      <c r="E21" s="19" t="inlineStr">
        <is>
          <t>Đọc toàn bộ source của repo nhóm và làm các task còn mở của Sang theo kế hoạch: adapter faster-whisper và Silero chạy offline, smoke theo Test Plan, evidence Phase 06.</t>
        </is>
      </c>
      <c r="F21" s="19" t="inlineStr">
        <is>
          <t>https://github.com/thanglb2005/ai-assessor-cefr/pull/32
Phiên bản / model: Claude Opus 5.5 (Claude Code, desktop app)
Nội dung AI tạo ra: Hai test smoke (chặn mạng, ghi evidence ngoài repo), M04-TEST-016; audio thử là giọng tổng hợp tự tạo bằng lệnh say của macOS, đặt ngoài repo (DEP-06); evidence M03-EV-004, M04-EV-002.
Phần Sang đã sửa / hoàn thiện: Sang đọc kết quả; verdict Phase 07–09 do Sang ghi khi duyệt PR #32.</t>
        </is>
      </c>
    </row>
    <row r="22" ht="36" customHeight="1" s="24">
      <c r="A22" s="29" t="n">
        <v>46306</v>
      </c>
      <c r="B22" s="18" t="inlineStr">
        <is>
          <t>Sang</t>
        </is>
      </c>
      <c r="C22" s="18" t="inlineStr">
        <is>
          <t>Claude</t>
        </is>
      </c>
      <c r="D22" s="19" t="inlineStr">
        <is>
          <t>Rà kế hoạch tuần 4 và hoàn thiện phần việc của Sang (W4-S3, S4, S5, S6)</t>
        </is>
      </c>
      <c r="E22" s="19" t="inlineStr">
        <is>
          <t>Kiểm tra kỹ các task tuần 4 của Sang theo kế hoạch trên repo nộp bài và làm cho đầy đủ: gỡ số liệu suy ra từ S&amp;I khỏi tài liệu/test M03–M05, thuộc tính công khai cho artifact của scorer, soạn email CUP&amp;A, review Phase 07, ghi AI Prompt Log tuần 4.</t>
        </is>
      </c>
      <c r="F22" s="19" t="inlineStr">
        <is>
          <t>https://github.com/thanglb2005/ai-assessor-cefr/pull/32
Phiên bản / model: Claude Opus 5.5 (Claude Code, desktop app)
Nội dung AI tạo ra: Gỡ số liệu S&amp;I (test tính kỳ vọng từ artifact lúc chạy), RidgeScorer.artifact và đổi các chỗ đọc _artifact, bỏ try/except thừa ở hai adapter, record review Phase 07, bản nháp email CUP&amp;A (lưu nội bộ), các dòng log này.
Phần Sang đã sửa / hoàn thiện: Sang xác nhận nhóm đồng ý cho Sang sửa phần coordinator/portal; email CUP&amp;A và verdict các phase do Sang tự gửi/ghi.</t>
        </is>
      </c>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04</t>
        </is>
      </c>
      <c r="C2" s="2" t="n"/>
      <c r="D2" s="2" t="n"/>
      <c r="E2" s="2" t="n"/>
      <c r="F2" s="2" t="n"/>
    </row>
    <row r="3" ht="19.5" customHeight="1" s="24">
      <c r="A3" s="30" t="inlineStr">
        <is>
          <t>05/10/2026 – 11/10/2026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37</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20</v>
      </c>
      <c r="C9" s="2" t="n"/>
      <c r="D9" s="14" t="inlineStr">
        <is>
          <t>Claude</t>
        </is>
      </c>
      <c r="E9" s="16">
        <f>COUNTIFS(Thắng!$A$6:$A$306,"&lt;&gt;",Thắng!$C$6:$C$306,D9)+COUNTIFS(Sang!$A$6:$A$306,"&lt;&gt;",Sang!$C$6:$C$306,D9)+COUNTIFS(Nguyên!$A$6:$A$306,"&lt;&gt;",Nguyên!$C$6:$C$306,D9)</f>
        <v>17</v>
      </c>
      <c r="F9" s="2" t="n"/>
    </row>
    <row r="10" ht="24.75" customHeight="1" s="24">
      <c r="A10" s="11" t="inlineStr">
        <is>
          <t>Sang</t>
        </is>
      </c>
      <c r="B10" s="13">
        <f>COUNTIF(Sang!$A$6:$A$306,"&lt;&gt;")</f>
        <v>17</v>
      </c>
      <c r="C10" s="2" t="n"/>
      <c r="D10" s="14" t="inlineStr">
        <is>
          <t>Codex</t>
        </is>
      </c>
      <c r="E10" s="16">
        <f>COUNTIFS(Thắng!$A$6:$A$306,"&lt;&gt;",Thắng!$C$6:$C$306,D10)+COUNTIFS(Sang!$A$6:$A$306,"&lt;&gt;",Sang!$C$6:$C$306,D10)+COUNTIFS(Nguyên!$A$6:$A$306,"&lt;&gt;",Nguyên!$C$6:$C$306,D10)</f>
        <v>20</v>
      </c>
      <c r="F10" s="2" t="n"/>
    </row>
    <row r="11" ht="24.75" customHeight="1" s="24">
      <c r="A11" s="11" t="inlineStr">
        <is>
          <t>Nguyên</t>
        </is>
      </c>
      <c r="B11" s="13">
        <f>COUNTIF(Nguyên!$A$6:$A$306,"&lt;&gt;")</f>
        <v>0</v>
      </c>
      <c r="C11" s="2" t="n"/>
      <c r="D11" s="14" t="inlineStr">
        <is>
          <t>Antigravity</t>
        </is>
      </c>
      <c r="E11" s="16">
        <f>COUNTIFS(Thắng!$A$6:$A$306,"&lt;&gt;",Thắng!$C$6:$C$306,D11)+COUNTIFS(Sang!$A$6:$A$306,"&lt;&gt;",Sang!$C$6:$C$306,D11)+COUNTIFS(Nguyên!$A$6:$A$306,"&lt;&gt;",Nguyên!$C$6:$C$306,D11)</f>
        <v>0</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2026-10-08T02:38:54Z</dcterms:created>
  <dcterms:modified xsi:type="dcterms:W3CDTF">2026-10-11T14:49:05Z</dcterms:modified>
  <cp:lastModifiedBy>PC</cp:lastModifiedBy>
</cp:coreProperties>
</file>